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5B809A54-AB7E-4EE2-A14E-092C89206846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BD" sheetId="1" r:id="rId1"/>
    <sheet name="Hoja1" sheetId="2" r:id="rId2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50" i="1" l="1"/>
  <c r="Q1349" i="1"/>
  <c r="Q1348" i="1"/>
  <c r="Q1347" i="1"/>
  <c r="Q1346" i="1"/>
  <c r="Q1345" i="1"/>
  <c r="Q1344" i="1"/>
  <c r="Q1343" i="1"/>
  <c r="Q1342" i="1"/>
  <c r="Q1341" i="1"/>
  <c r="Q1216" i="1"/>
  <c r="Q1340" i="1"/>
  <c r="Q1339" i="1"/>
  <c r="Q1338" i="1"/>
  <c r="Q1337" i="1"/>
  <c r="Q1336" i="1"/>
  <c r="N1335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058" i="1"/>
  <c r="Q389" i="1"/>
  <c r="Q1116" i="1"/>
  <c r="Q1304" i="1"/>
  <c r="Q1150" i="1"/>
  <c r="Q1303" i="1"/>
  <c r="Q1302" i="1"/>
  <c r="Q1301" i="1"/>
  <c r="Q1300" i="1"/>
  <c r="Q1299" i="1"/>
  <c r="Q1298" i="1"/>
  <c r="Q1297" i="1"/>
  <c r="Q300" i="1"/>
  <c r="Q278" i="1"/>
  <c r="Q223" i="1"/>
  <c r="Q355" i="1"/>
  <c r="Q1296" i="1"/>
  <c r="Q806" i="1"/>
  <c r="Q1193" i="1"/>
  <c r="Q1207" i="1"/>
  <c r="Q489" i="1"/>
  <c r="Q790" i="1"/>
  <c r="Q907" i="1"/>
  <c r="Q906" i="1"/>
  <c r="Q1295" i="1"/>
  <c r="Q1294" i="1"/>
  <c r="Q1293" i="1"/>
  <c r="Q1292" i="1"/>
  <c r="Q1291" i="1"/>
  <c r="Q1290" i="1"/>
  <c r="Q1289" i="1"/>
  <c r="Q1288" i="1"/>
  <c r="Q1287" i="1"/>
  <c r="Q1286" i="1"/>
  <c r="Q1285" i="1"/>
  <c r="Q1152" i="1"/>
  <c r="Q581" i="1"/>
  <c r="Q490" i="1"/>
  <c r="Q112" i="1"/>
  <c r="Q580" i="1"/>
  <c r="Q579" i="1"/>
  <c r="Q578" i="1"/>
  <c r="Q348" i="1"/>
  <c r="Q70" i="1"/>
  <c r="Q851" i="1"/>
  <c r="Q1284" i="1"/>
  <c r="Q1283" i="1"/>
  <c r="Q1100" i="1"/>
  <c r="Q1090" i="1"/>
  <c r="Q919" i="1"/>
  <c r="Q1118" i="1"/>
  <c r="Q444" i="1"/>
  <c r="Q321" i="1"/>
  <c r="Q486" i="1"/>
  <c r="Q857" i="1"/>
  <c r="Q302" i="1"/>
  <c r="Q549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874" i="1"/>
  <c r="Q222" i="1"/>
  <c r="Q174" i="1"/>
  <c r="Q229" i="1"/>
  <c r="Q117" i="1"/>
  <c r="Q633" i="1"/>
  <c r="Q945" i="1"/>
  <c r="Q1145" i="1"/>
  <c r="Q1068" i="1"/>
  <c r="Q766" i="1"/>
  <c r="Q783" i="1"/>
  <c r="Q782" i="1"/>
  <c r="Q638" i="1"/>
  <c r="Q136" i="1"/>
  <c r="Q446" i="1"/>
  <c r="Q298" i="1"/>
  <c r="Q1220" i="1"/>
  <c r="Q290" i="1"/>
  <c r="Q487" i="1"/>
  <c r="Q684" i="1"/>
  <c r="Q1067" i="1"/>
  <c r="Q1185" i="1"/>
  <c r="Q38" i="1"/>
  <c r="Q343" i="1"/>
  <c r="Q283" i="1"/>
  <c r="Q184" i="1"/>
  <c r="Q149" i="1"/>
  <c r="Q607" i="1"/>
  <c r="Q1108" i="1"/>
  <c r="Q1229" i="1"/>
  <c r="Q746" i="1"/>
  <c r="Q897" i="1"/>
  <c r="Q30" i="1"/>
  <c r="Q1121" i="1"/>
  <c r="Q133" i="1"/>
  <c r="Q155" i="1"/>
  <c r="Q390" i="1"/>
  <c r="Q125" i="1"/>
  <c r="Q650" i="1"/>
  <c r="Q182" i="1"/>
  <c r="Q10" i="1"/>
  <c r="Q725" i="1"/>
  <c r="Q424" i="1"/>
  <c r="Q588" i="1"/>
  <c r="Q969" i="1"/>
  <c r="Q304" i="1"/>
  <c r="Q400" i="1"/>
  <c r="Q175" i="1"/>
  <c r="Q48" i="1"/>
  <c r="Q895" i="1"/>
  <c r="Q832" i="1"/>
  <c r="Q1044" i="1"/>
  <c r="Q1039" i="1"/>
  <c r="Q565" i="1"/>
  <c r="Q1055" i="1"/>
  <c r="Q363" i="1"/>
  <c r="Q534" i="1"/>
  <c r="Q826" i="1"/>
  <c r="Q41" i="1"/>
  <c r="Q201" i="1"/>
  <c r="Q200" i="1"/>
  <c r="Q1129" i="1"/>
  <c r="Q873" i="1"/>
  <c r="Q415" i="1"/>
  <c r="Q36" i="1"/>
  <c r="Q1005" i="1"/>
  <c r="Q166" i="1"/>
  <c r="Q740" i="1"/>
  <c r="Q1263" i="1"/>
  <c r="Q265" i="1"/>
  <c r="Q670" i="1"/>
  <c r="Q669" i="1"/>
  <c r="Q833" i="1"/>
  <c r="Q801" i="1"/>
  <c r="Q896" i="1"/>
  <c r="Q1088" i="1"/>
  <c r="Q199" i="1"/>
  <c r="Q724" i="1"/>
  <c r="Q303" i="1"/>
  <c r="Q561" i="1"/>
  <c r="Q839" i="1"/>
  <c r="Q572" i="1"/>
  <c r="Q432" i="1"/>
  <c r="Q1038" i="1"/>
  <c r="Q386" i="1"/>
  <c r="Q743" i="1"/>
  <c r="Q1212" i="1"/>
  <c r="Q236" i="1"/>
  <c r="Q1066" i="1"/>
  <c r="Q985" i="1"/>
  <c r="Q252" i="1"/>
  <c r="Q419" i="1"/>
  <c r="Q268" i="1"/>
  <c r="Q586" i="1"/>
  <c r="Q232" i="1"/>
  <c r="Q226" i="1"/>
  <c r="Q840" i="1"/>
  <c r="Q1219" i="1"/>
  <c r="Q921" i="1"/>
  <c r="Q1054" i="1"/>
  <c r="Q357" i="1"/>
  <c r="Q99" i="1"/>
  <c r="Q773" i="1"/>
  <c r="Q934" i="1"/>
  <c r="Q1244" i="1"/>
  <c r="Q812" i="1"/>
  <c r="Q443" i="1"/>
  <c r="Q918" i="1"/>
  <c r="Q116" i="1"/>
  <c r="Q758" i="1"/>
  <c r="Q88" i="1"/>
  <c r="Q804" i="1"/>
  <c r="Q1104" i="1"/>
  <c r="Q485" i="1"/>
  <c r="Q988" i="1"/>
  <c r="Q202" i="1"/>
  <c r="Q980" i="1"/>
  <c r="Q541" i="1"/>
  <c r="Q775" i="1"/>
  <c r="Q1198" i="1"/>
  <c r="Q1097" i="1"/>
  <c r="Q442" i="1"/>
  <c r="Q42" i="1"/>
  <c r="Q731" i="1"/>
  <c r="Q605" i="1"/>
  <c r="Q101" i="1"/>
  <c r="Q956" i="1"/>
  <c r="Q1238" i="1"/>
  <c r="Q1182" i="1"/>
  <c r="Q262" i="1"/>
  <c r="Q943" i="1"/>
  <c r="Q947" i="1"/>
  <c r="Q159" i="1"/>
  <c r="Q646" i="1"/>
  <c r="Q1178" i="1"/>
  <c r="Q762" i="1"/>
  <c r="Q925" i="1"/>
  <c r="Q181" i="1"/>
  <c r="Q141" i="1"/>
  <c r="Q712" i="1"/>
  <c r="Q491" i="1"/>
  <c r="Q825" i="1"/>
  <c r="Q270" i="1"/>
  <c r="Q310" i="1"/>
  <c r="Q639" i="1"/>
  <c r="Q1204" i="1"/>
  <c r="Q359" i="1"/>
  <c r="Q936" i="1"/>
  <c r="Q1162" i="1"/>
  <c r="Q90" i="1"/>
  <c r="Q1156" i="1"/>
  <c r="Q65" i="1"/>
  <c r="Q791" i="1"/>
  <c r="Q772" i="1"/>
  <c r="Q120" i="1"/>
  <c r="Q96" i="1"/>
  <c r="Q796" i="1"/>
  <c r="Q1242" i="1"/>
  <c r="Q922" i="1"/>
  <c r="Q560" i="1"/>
  <c r="Q624" i="1"/>
  <c r="Q1202" i="1"/>
  <c r="Q482" i="1"/>
  <c r="Q316" i="1"/>
  <c r="Q1188" i="1"/>
  <c r="Q1050" i="1"/>
  <c r="Q257" i="1"/>
  <c r="Q1201" i="1"/>
  <c r="Q727" i="1"/>
  <c r="Q259" i="1"/>
  <c r="Q615" i="1"/>
  <c r="Q115" i="1"/>
  <c r="Q987" i="1"/>
  <c r="Q381" i="1"/>
  <c r="Q1148" i="1"/>
  <c r="Q516" i="1"/>
  <c r="Q79" i="1"/>
  <c r="Q190" i="1"/>
  <c r="Q375" i="1"/>
  <c r="Q917" i="1"/>
  <c r="Q722" i="1"/>
  <c r="Q556" i="1"/>
  <c r="Q1179" i="1"/>
  <c r="Q789" i="1"/>
  <c r="Q787" i="1"/>
  <c r="Q711" i="1"/>
  <c r="Q1232" i="1"/>
  <c r="Q1249" i="1"/>
  <c r="Q382" i="1"/>
  <c r="Q280" i="1"/>
  <c r="Q83" i="1"/>
  <c r="Q260" i="1"/>
  <c r="Q817" i="1"/>
  <c r="Q1111" i="1"/>
  <c r="Q1240" i="1"/>
  <c r="Q291" i="1"/>
  <c r="Q165" i="1"/>
  <c r="Q916" i="1"/>
  <c r="Q584" i="1"/>
  <c r="Q618" i="1"/>
  <c r="Q591" i="1"/>
  <c r="Q197" i="1"/>
  <c r="Q570" i="1"/>
  <c r="Q392" i="1"/>
  <c r="Q378" i="1"/>
  <c r="Q1110" i="1"/>
  <c r="Q973" i="1"/>
  <c r="Q131" i="1"/>
  <c r="Q250" i="1"/>
  <c r="Q898" i="1"/>
  <c r="Q755" i="1"/>
  <c r="Q282" i="1"/>
  <c r="Q492" i="1"/>
  <c r="Q887" i="1"/>
  <c r="Q744" i="1"/>
  <c r="Q1237" i="1"/>
  <c r="Q75" i="1"/>
  <c r="Q205" i="1"/>
  <c r="Q218" i="1"/>
  <c r="Q829" i="1"/>
  <c r="Q645" i="1"/>
  <c r="Q168" i="1"/>
  <c r="Q924" i="1"/>
  <c r="Q569" i="1"/>
  <c r="Q960" i="1"/>
  <c r="Q211" i="1"/>
  <c r="Q414" i="1"/>
  <c r="Q425" i="1"/>
  <c r="Q575" i="1"/>
  <c r="Q1254" i="1"/>
  <c r="Q651" i="1"/>
  <c r="Q889" i="1"/>
  <c r="Q371" i="1"/>
  <c r="Q574" i="1"/>
  <c r="Q412" i="1"/>
  <c r="Q978" i="1"/>
  <c r="Q923" i="1"/>
  <c r="Q431" i="1"/>
  <c r="Q999" i="1"/>
  <c r="Q1013" i="1"/>
  <c r="Q905" i="1"/>
  <c r="Q380" i="1"/>
  <c r="Q153" i="1"/>
  <c r="Q961" i="1"/>
  <c r="Q318" i="1"/>
  <c r="Q196" i="1"/>
  <c r="Q289" i="1"/>
  <c r="Q697" i="1"/>
  <c r="Q708" i="1"/>
  <c r="Q234" i="1"/>
  <c r="Q550" i="1"/>
  <c r="Q717" i="1"/>
  <c r="Q544" i="1"/>
  <c r="Q430" i="1"/>
  <c r="Q349" i="1"/>
  <c r="Q1009" i="1"/>
  <c r="Q481" i="1"/>
  <c r="Q1142" i="1"/>
  <c r="Q515" i="1"/>
  <c r="Q1023" i="1"/>
  <c r="Q1060" i="1"/>
  <c r="Q567" i="1"/>
  <c r="Q228" i="1"/>
  <c r="Q281" i="1"/>
  <c r="Q882" i="1"/>
  <c r="Q1261" i="1"/>
  <c r="Q1252" i="1"/>
  <c r="Q686" i="1"/>
  <c r="Q332" i="1"/>
  <c r="Q312" i="1"/>
  <c r="Q341" i="1"/>
  <c r="Q630" i="1"/>
  <c r="Q1123" i="1"/>
  <c r="Q287" i="1"/>
  <c r="Q13" i="1"/>
  <c r="Q674" i="1"/>
  <c r="Q434" i="1"/>
  <c r="Q771" i="1"/>
  <c r="Q1172" i="1"/>
  <c r="Q488" i="1"/>
  <c r="Q601" i="1"/>
  <c r="Q940" i="1"/>
  <c r="Q933" i="1"/>
  <c r="Q932" i="1"/>
  <c r="Q82" i="1"/>
  <c r="Q85" i="1"/>
  <c r="Q866" i="1"/>
  <c r="Q40" i="1"/>
  <c r="Q1224" i="1"/>
  <c r="Q301" i="1"/>
  <c r="Q770" i="1"/>
  <c r="Q965" i="1"/>
  <c r="Q901" i="1"/>
  <c r="Q554" i="1"/>
  <c r="Q309" i="1"/>
  <c r="Q881" i="1"/>
  <c r="Q703" i="1"/>
  <c r="Q634" i="1"/>
  <c r="Q98" i="1"/>
  <c r="Q242" i="1"/>
  <c r="Q1012" i="1"/>
  <c r="Q517" i="1"/>
  <c r="Q778" i="1"/>
  <c r="Q546" i="1"/>
  <c r="Q26" i="1"/>
  <c r="Q1059" i="1"/>
  <c r="Q635" i="1"/>
  <c r="Q994" i="1"/>
  <c r="Q28" i="1"/>
  <c r="Q1161" i="1"/>
  <c r="Q1213" i="1"/>
  <c r="Q436" i="1"/>
  <c r="Q388" i="1"/>
  <c r="Q493" i="1"/>
  <c r="Q867" i="1"/>
  <c r="Q677" i="1"/>
  <c r="Q325" i="1"/>
  <c r="Q461" i="1"/>
  <c r="Q1024" i="1"/>
  <c r="Q649" i="1"/>
  <c r="Q1134" i="1"/>
  <c r="Q976" i="1"/>
  <c r="Q696" i="1"/>
  <c r="Q216" i="1"/>
  <c r="Q641" i="1"/>
  <c r="Q58" i="1"/>
  <c r="Q59" i="1"/>
  <c r="Q163" i="1"/>
  <c r="Q292" i="1"/>
  <c r="Q1248" i="1"/>
  <c r="Q1250" i="1"/>
  <c r="Q514" i="1"/>
  <c r="Q931" i="1"/>
  <c r="Q707" i="1"/>
  <c r="Q1130" i="1"/>
  <c r="Q759" i="1"/>
  <c r="Q566" i="1"/>
  <c r="Q792" i="1"/>
  <c r="Q244" i="1"/>
  <c r="Q590" i="1"/>
  <c r="Q27" i="1"/>
  <c r="Q926" i="1"/>
  <c r="Q451" i="1"/>
  <c r="Q1010" i="1"/>
  <c r="Q890" i="1"/>
  <c r="Q1036" i="1"/>
  <c r="Q859" i="1"/>
  <c r="Q705" i="1"/>
  <c r="Q807" i="1"/>
  <c r="Q811" i="1"/>
  <c r="Q810" i="1"/>
  <c r="Q736" i="1"/>
  <c r="Q756" i="1"/>
  <c r="Q653" i="1"/>
  <c r="Q78" i="1"/>
  <c r="Q249" i="1"/>
  <c r="Q103" i="1"/>
  <c r="Q68" i="1"/>
  <c r="Q95" i="1"/>
  <c r="Q951" i="1"/>
  <c r="Q518" i="1"/>
  <c r="Q602" i="1"/>
  <c r="Q1187" i="1"/>
  <c r="Q519" i="1"/>
  <c r="Q1194" i="1"/>
  <c r="Q777" i="1"/>
  <c r="Q520" i="1"/>
  <c r="Q351" i="1"/>
  <c r="Q939" i="1"/>
  <c r="Q894" i="1"/>
  <c r="Q617" i="1"/>
  <c r="Q1034" i="1"/>
  <c r="Q1025" i="1"/>
  <c r="Q108" i="1"/>
  <c r="Q139" i="1"/>
  <c r="Q180" i="1"/>
  <c r="Q54" i="1"/>
  <c r="Q652" i="1"/>
  <c r="Q324" i="1"/>
  <c r="Q521" i="1"/>
  <c r="Q24" i="1"/>
  <c r="Q426" i="1"/>
  <c r="Q427" i="1"/>
  <c r="Q662" i="1"/>
  <c r="Q276" i="1"/>
  <c r="Q342" i="1"/>
  <c r="Q212" i="1"/>
  <c r="Q576" i="1"/>
  <c r="Q105" i="1"/>
  <c r="Q642" i="1"/>
  <c r="Q314" i="1"/>
  <c r="Q625" i="1"/>
  <c r="Q144" i="1"/>
  <c r="Q1199" i="1"/>
  <c r="Q474" i="1"/>
  <c r="Q445" i="1"/>
  <c r="Q751" i="1"/>
  <c r="Q403" i="1"/>
  <c r="Q77" i="1"/>
  <c r="Q1014" i="1"/>
  <c r="Q468" i="1"/>
  <c r="Q1176" i="1"/>
  <c r="Q1235" i="1"/>
  <c r="Q533" i="1"/>
  <c r="Q326" i="1"/>
  <c r="Q209" i="1"/>
  <c r="Q1160" i="1"/>
  <c r="Q754" i="1"/>
  <c r="Q8" i="1"/>
  <c r="Q192" i="1"/>
  <c r="Q460" i="1"/>
  <c r="Q1253" i="1"/>
  <c r="Q573" i="1"/>
  <c r="Q1184" i="1"/>
  <c r="Q555" i="1"/>
  <c r="Q1033" i="1"/>
  <c r="Q496" i="1"/>
  <c r="Q364" i="1"/>
  <c r="Q499" i="1"/>
  <c r="Q64" i="1"/>
  <c r="Q373" i="1"/>
  <c r="Q667" i="1"/>
  <c r="Q1251" i="1"/>
  <c r="Q776" i="1"/>
  <c r="Q788" i="1"/>
  <c r="Q539" i="1"/>
  <c r="Q299" i="1"/>
  <c r="Q1062" i="1"/>
  <c r="Q1101" i="1"/>
  <c r="Q193" i="1"/>
  <c r="Q178" i="1"/>
  <c r="Q995" i="1"/>
  <c r="Q113" i="1"/>
  <c r="Q728" i="1"/>
  <c r="Q203" i="1"/>
  <c r="Q941" i="1"/>
  <c r="Q185" i="1"/>
  <c r="Q611" i="1"/>
  <c r="Q913" i="1"/>
  <c r="Q1208" i="1"/>
  <c r="Q177" i="1"/>
  <c r="Q313" i="1"/>
  <c r="Q156" i="1"/>
  <c r="Q1214" i="1"/>
  <c r="Q729" i="1"/>
  <c r="Q730" i="1"/>
  <c r="Q596" i="1"/>
  <c r="Q473" i="1"/>
  <c r="Q469" i="1"/>
  <c r="Q803" i="1"/>
  <c r="Q621" i="1"/>
  <c r="Q622" i="1"/>
  <c r="Q157" i="1"/>
  <c r="Q523" i="1"/>
  <c r="Q752" i="1"/>
  <c r="Q785" i="1"/>
  <c r="Q880" i="1"/>
  <c r="Q1259" i="1"/>
  <c r="Q1255" i="1"/>
  <c r="Q1256" i="1"/>
  <c r="Q568" i="1"/>
  <c r="Q1183" i="1"/>
  <c r="Q1195" i="1"/>
  <c r="Q1106" i="1"/>
  <c r="Q749" i="1"/>
  <c r="Q750" i="1"/>
  <c r="Q339" i="1"/>
  <c r="Q210" i="1"/>
  <c r="Q11" i="1"/>
  <c r="Q20" i="1"/>
  <c r="Q67" i="1"/>
  <c r="Q57" i="1"/>
  <c r="Q179" i="1"/>
  <c r="Q132" i="1"/>
  <c r="Q264" i="1"/>
  <c r="Q346" i="1"/>
  <c r="Q317" i="1"/>
  <c r="Q391" i="1"/>
  <c r="Q498" i="1"/>
  <c r="Q510" i="1"/>
  <c r="Q467" i="1"/>
  <c r="Q608" i="1"/>
  <c r="Q606" i="1"/>
  <c r="Q661" i="1"/>
  <c r="Q784" i="1"/>
  <c r="Q726" i="1"/>
  <c r="Q841" i="1"/>
  <c r="Q815" i="1"/>
  <c r="J6" i="1"/>
  <c r="L1350" i="1" s="1"/>
  <c r="N1350" i="1" s="1"/>
  <c r="Q1075" i="1"/>
  <c r="Q1064" i="1"/>
  <c r="Q1135" i="1"/>
  <c r="Q1154" i="1"/>
  <c r="Q1167" i="1"/>
  <c r="Q1085" i="1"/>
  <c r="Q1003" i="1"/>
  <c r="Q967" i="1"/>
  <c r="Q970" i="1"/>
  <c r="Q1035" i="1"/>
  <c r="Q962" i="1"/>
  <c r="Q953" i="1"/>
  <c r="Q909" i="1"/>
  <c r="Q927" i="1"/>
  <c r="Q891" i="1"/>
  <c r="Q822" i="1"/>
  <c r="Q800" i="1"/>
  <c r="Q738" i="1"/>
  <c r="Q737" i="1"/>
  <c r="Q63" i="1"/>
  <c r="Q224" i="1"/>
  <c r="Q340" i="1"/>
  <c r="Q121" i="1"/>
  <c r="Q668" i="1"/>
  <c r="Q636" i="1"/>
  <c r="Q452" i="1"/>
  <c r="Q453" i="1"/>
  <c r="Q497" i="1"/>
  <c r="Q465" i="1"/>
  <c r="Q401" i="1"/>
  <c r="Q428" i="1"/>
  <c r="Q387" i="1"/>
  <c r="Q368" i="1"/>
  <c r="Q126" i="1"/>
  <c r="Q45" i="1"/>
  <c r="Q206" i="1"/>
  <c r="Q171" i="1"/>
  <c r="Q247" i="1"/>
  <c r="Q248" i="1"/>
  <c r="Q162" i="1"/>
  <c r="Q1061" i="1"/>
  <c r="Q31" i="1"/>
  <c r="Q21" i="1"/>
  <c r="Q66" i="1"/>
  <c r="Q39" i="1"/>
  <c r="Q56" i="1"/>
  <c r="Q104" i="1"/>
  <c r="Q47" i="1"/>
  <c r="Q97" i="1"/>
  <c r="Q72" i="1"/>
  <c r="Q1026" i="1"/>
  <c r="Q416" i="1"/>
  <c r="Q183" i="1"/>
  <c r="Q892" i="1"/>
  <c r="Q1128" i="1"/>
  <c r="Q597" i="1"/>
  <c r="Q847" i="1"/>
  <c r="Q1147" i="1"/>
  <c r="Q1132" i="1"/>
  <c r="Q1032" i="1"/>
  <c r="Q393" i="1"/>
  <c r="Q654" i="1"/>
  <c r="Q237" i="1"/>
  <c r="Q835" i="1"/>
  <c r="Q836" i="1"/>
  <c r="Q687" i="1"/>
  <c r="Q1046" i="1"/>
  <c r="Q977" i="1"/>
  <c r="Q700" i="1"/>
  <c r="Q553" i="1"/>
  <c r="Q715" i="1"/>
  <c r="Q221" i="1"/>
  <c r="Q294" i="1"/>
  <c r="Q1209" i="1"/>
  <c r="Q935" i="1"/>
  <c r="Q799" i="1"/>
  <c r="Q853" i="1"/>
  <c r="Q1190" i="1"/>
  <c r="Q971" i="1"/>
  <c r="Q537" i="1"/>
  <c r="Q138" i="1"/>
  <c r="Q595" i="1"/>
  <c r="Q996" i="1"/>
  <c r="Q983" i="1"/>
  <c r="Q114" i="1"/>
  <c r="Q362" i="1"/>
  <c r="Q513" i="1"/>
  <c r="Q32" i="1"/>
  <c r="Q997" i="1"/>
  <c r="Q43" i="1"/>
  <c r="Q1260" i="1"/>
  <c r="Q739" i="1"/>
  <c r="Q920" i="1"/>
  <c r="Q959" i="1"/>
  <c r="Q698" i="1"/>
  <c r="Q1018" i="1"/>
  <c r="Q464" i="1"/>
  <c r="Q275" i="1"/>
  <c r="Q1262" i="1"/>
  <c r="Q295" i="1"/>
  <c r="Q1241" i="1"/>
  <c r="Q327" i="1"/>
  <c r="Q384" i="1"/>
  <c r="Q543" i="1"/>
  <c r="Q716" i="1"/>
  <c r="Q643" i="1"/>
  <c r="Q802" i="1"/>
  <c r="Q797" i="1"/>
  <c r="Q732" i="1"/>
  <c r="Q761" i="1"/>
  <c r="Q709" i="1"/>
  <c r="Q571" i="1"/>
  <c r="Q1163" i="1"/>
  <c r="Q816" i="1"/>
  <c r="Q1171" i="1"/>
  <c r="Q29" i="1"/>
  <c r="Q261" i="1"/>
  <c r="Q494" i="1"/>
  <c r="Q1017" i="1"/>
  <c r="Q266" i="1"/>
  <c r="Q842" i="1"/>
  <c r="Q1149" i="1"/>
  <c r="Q495" i="1"/>
  <c r="Q1047" i="1"/>
  <c r="Q993" i="1"/>
  <c r="Q603" i="1"/>
  <c r="Q176" i="1"/>
  <c r="Q512" i="1"/>
  <c r="Q288" i="1"/>
  <c r="Q957" i="1"/>
  <c r="Q948" i="1"/>
  <c r="Q678" i="1"/>
  <c r="Q372" i="1"/>
  <c r="Q564" i="1"/>
  <c r="Q25" i="1"/>
  <c r="Q1127" i="1"/>
  <c r="Q860" i="1"/>
  <c r="Q589" i="1"/>
  <c r="Q583" i="1"/>
  <c r="Q1020" i="1"/>
  <c r="Q865" i="1"/>
  <c r="Q599" i="1"/>
  <c r="Q1019" i="1"/>
  <c r="Q600" i="1"/>
  <c r="Q522" i="1"/>
  <c r="Q1007" i="1"/>
  <c r="Q1071" i="1"/>
  <c r="Q1139" i="1"/>
  <c r="Q675" i="1"/>
  <c r="Q336" i="1"/>
  <c r="Q1011" i="1"/>
  <c r="Q582" i="1"/>
  <c r="Q49" i="1"/>
  <c r="Q1027" i="1"/>
  <c r="Q466" i="1"/>
  <c r="Q285" i="1"/>
  <c r="Q227" i="1"/>
  <c r="Q1072" i="1"/>
  <c r="Q1230" i="1"/>
  <c r="Q1091" i="1"/>
  <c r="Q818" i="1"/>
  <c r="Q692" i="1"/>
  <c r="Q238" i="1"/>
  <c r="Q655" i="1"/>
  <c r="Q647" i="1"/>
  <c r="Q360" i="1"/>
  <c r="Q511" i="1"/>
  <c r="Q968" i="1"/>
  <c r="Q644" i="1"/>
  <c r="Q306" i="1"/>
  <c r="Q1073" i="1"/>
  <c r="Q151" i="1"/>
  <c r="Q577" i="1"/>
  <c r="Q610" i="1"/>
  <c r="Q1215" i="1"/>
  <c r="Q540" i="1"/>
  <c r="Q191" i="1"/>
  <c r="Q548" i="1"/>
  <c r="Q1092" i="1"/>
  <c r="Q429" i="1"/>
  <c r="Q944" i="1"/>
  <c r="Q888" i="1"/>
  <c r="Q423" i="1"/>
  <c r="Q1008" i="1"/>
  <c r="Q1016" i="1"/>
  <c r="Q135" i="1"/>
  <c r="Q1056" i="1"/>
  <c r="Q542" i="1"/>
  <c r="Q239" i="1"/>
  <c r="Q689" i="1"/>
  <c r="Q1221" i="1"/>
  <c r="Q214" i="1"/>
  <c r="Q1186" i="1"/>
  <c r="Q263" i="1"/>
  <c r="Q34" i="1"/>
  <c r="Q433" i="1"/>
  <c r="Q60" i="1"/>
  <c r="Q330" i="1"/>
  <c r="Q760" i="1"/>
  <c r="Q1083" i="1"/>
  <c r="Q12" i="1"/>
  <c r="Q827" i="1"/>
  <c r="Q164" i="1"/>
  <c r="Q14" i="1"/>
  <c r="Q331" i="1"/>
  <c r="Q1164" i="1"/>
  <c r="Q656" i="1"/>
  <c r="Q194" i="1"/>
  <c r="Q406" i="1"/>
  <c r="Q998" i="1"/>
  <c r="Q73" i="1"/>
  <c r="Q1222" i="1"/>
  <c r="Q547" i="1"/>
  <c r="Q723" i="1"/>
  <c r="Q1137" i="1"/>
  <c r="Q972" i="1"/>
  <c r="Q15" i="1"/>
  <c r="Q741" i="1"/>
  <c r="Q694" i="1"/>
  <c r="Q928" i="1"/>
  <c r="Q612" i="1"/>
  <c r="Q765" i="1"/>
  <c r="Q875" i="1"/>
  <c r="Q420" i="1"/>
  <c r="Q440" i="1"/>
  <c r="Q1102" i="1"/>
  <c r="Q213" i="1"/>
  <c r="Q475" i="1"/>
  <c r="Q850" i="1"/>
  <c r="Q1063" i="1"/>
  <c r="Q963" i="1"/>
  <c r="Q1174" i="1"/>
  <c r="Q394" i="1"/>
  <c r="Q861" i="1"/>
  <c r="Q361" i="1"/>
  <c r="Q903" i="1"/>
  <c r="Q1000" i="1"/>
  <c r="Q1022" i="1"/>
  <c r="Q458" i="1"/>
  <c r="Q143" i="1"/>
  <c r="Q46" i="1"/>
  <c r="Q158" i="1"/>
  <c r="Q742" i="1"/>
  <c r="Q594" i="1"/>
  <c r="Q152" i="1"/>
  <c r="Q1125" i="1"/>
  <c r="Q1113" i="1"/>
  <c r="Q476" i="1"/>
  <c r="Q524" i="1"/>
  <c r="Q93" i="1"/>
  <c r="Q94" i="1"/>
  <c r="Q910" i="1"/>
  <c r="Q296" i="1"/>
  <c r="Q208" i="1"/>
  <c r="Q500" i="1"/>
  <c r="Q405" i="1"/>
  <c r="Q231" i="1"/>
  <c r="Q779" i="1"/>
  <c r="Q1086" i="1"/>
  <c r="Q243" i="1"/>
  <c r="Q733" i="1"/>
  <c r="Q1040" i="1"/>
  <c r="Q854" i="1"/>
  <c r="Q417" i="1"/>
  <c r="Q616" i="1"/>
  <c r="Q1119" i="1"/>
  <c r="Q246" i="1"/>
  <c r="Q672" i="1"/>
  <c r="Q1069" i="1"/>
  <c r="Q793" i="1"/>
  <c r="Q418" i="1"/>
  <c r="Q525" i="1"/>
  <c r="Q1146" i="1"/>
  <c r="Q272" i="1"/>
  <c r="Q1165" i="1"/>
  <c r="Q828" i="1"/>
  <c r="Q145" i="1"/>
  <c r="Q699" i="1"/>
  <c r="Q253" i="1"/>
  <c r="Q1138" i="1"/>
  <c r="Q1074" i="1"/>
  <c r="Q1001" i="1"/>
  <c r="Q768" i="1"/>
  <c r="Q127" i="1"/>
  <c r="Q204" i="1"/>
  <c r="Q637" i="1"/>
  <c r="Q592" i="1"/>
  <c r="Q562" i="1"/>
  <c r="Q613" i="1"/>
  <c r="Q1076" i="1"/>
  <c r="Q915" i="1"/>
  <c r="Q718" i="1"/>
  <c r="Q1053" i="1"/>
  <c r="Q1093" i="1"/>
  <c r="Q1002" i="1"/>
  <c r="Q623" i="1"/>
  <c r="Q251" i="1"/>
  <c r="Q437" i="1"/>
  <c r="Q421" i="1"/>
  <c r="Q1239" i="1"/>
  <c r="Q1006" i="1"/>
  <c r="Q383" i="1"/>
  <c r="Q111" i="1"/>
  <c r="Q604" i="1"/>
  <c r="Q422" i="1"/>
  <c r="Q805" i="1"/>
  <c r="Q269" i="1"/>
  <c r="Q904" i="1"/>
  <c r="Q91" i="1"/>
  <c r="Q76" i="1"/>
  <c r="Q323" i="1"/>
  <c r="Q395" i="1"/>
  <c r="Q710" i="1"/>
  <c r="Q1028" i="1"/>
  <c r="Q369" i="1"/>
  <c r="Q1173" i="1"/>
  <c r="Q685" i="1"/>
  <c r="Q207" i="1"/>
  <c r="Q526" i="1"/>
  <c r="Q187" i="1"/>
  <c r="Q154" i="1"/>
  <c r="Q885" i="1"/>
  <c r="Q966" i="1"/>
  <c r="Q1217" i="1"/>
  <c r="Q255" i="1"/>
  <c r="Q438" i="1"/>
  <c r="Q1103" i="1"/>
  <c r="Q284" i="1"/>
  <c r="Q545" i="1"/>
  <c r="Q277" i="1"/>
  <c r="Q1045" i="1"/>
  <c r="Q52" i="1"/>
  <c r="Q271" i="1"/>
  <c r="Q22" i="1"/>
  <c r="Q942" i="1"/>
  <c r="Q1048" i="1"/>
  <c r="Q628" i="1"/>
  <c r="Q1245" i="1"/>
  <c r="Q439" i="1"/>
  <c r="Q820" i="1"/>
  <c r="Q671" i="1"/>
  <c r="Q1196" i="1"/>
  <c r="Q954" i="1"/>
  <c r="Q819" i="1"/>
  <c r="Q225" i="1"/>
  <c r="Q483" i="1"/>
  <c r="Q118" i="1"/>
  <c r="Q855" i="1"/>
  <c r="Q335" i="1"/>
  <c r="Q714" i="1"/>
  <c r="Q823" i="1"/>
  <c r="Q322" i="1"/>
  <c r="Q974" i="1"/>
  <c r="Q975" i="1"/>
  <c r="Q824" i="1"/>
  <c r="Q16" i="1"/>
  <c r="Q17" i="1"/>
  <c r="Q18" i="1"/>
  <c r="Q763" i="1"/>
  <c r="Q53" i="1"/>
  <c r="Q19" i="1"/>
  <c r="Q370" i="1"/>
  <c r="Q84" i="1"/>
  <c r="Q450" i="1"/>
  <c r="Q297" i="1"/>
  <c r="Q1247" i="1"/>
  <c r="Q1197" i="1"/>
  <c r="Q657" i="1"/>
  <c r="Q501" i="1"/>
  <c r="Q858" i="1"/>
  <c r="Q813" i="1"/>
  <c r="Q509" i="1"/>
  <c r="Q757" i="1"/>
  <c r="Q844" i="1"/>
  <c r="Q402" i="1"/>
  <c r="Q267" i="1"/>
  <c r="Q107" i="1"/>
  <c r="Q1042" i="1"/>
  <c r="Q147" i="1"/>
  <c r="Q279" i="1"/>
  <c r="Q142" i="1"/>
  <c r="Q140" i="1"/>
  <c r="Q676" i="1"/>
  <c r="Q690" i="1"/>
  <c r="Q593" i="1"/>
  <c r="Q502" i="1"/>
  <c r="Q964" i="1"/>
  <c r="Q448" i="1"/>
  <c r="Q734" i="1"/>
  <c r="Q454" i="1"/>
  <c r="Q1087" i="1"/>
  <c r="Q1180" i="1"/>
  <c r="Q379" i="1"/>
  <c r="Q1175" i="1"/>
  <c r="Q167" i="1"/>
  <c r="Q315" i="1"/>
  <c r="Q1246" i="1"/>
  <c r="Q169" i="1"/>
  <c r="Q701" i="1"/>
  <c r="Q558" i="1"/>
  <c r="Q745" i="1"/>
  <c r="Q609" i="1"/>
  <c r="Q408" i="1"/>
  <c r="Q902" i="1"/>
  <c r="Q240" i="1"/>
  <c r="Q845" i="1"/>
  <c r="Q123" i="1"/>
  <c r="Q404" i="1"/>
  <c r="Q455" i="1"/>
  <c r="Q893" i="1"/>
  <c r="Q619" i="1"/>
  <c r="Q80" i="1"/>
  <c r="Q1136" i="1"/>
  <c r="Q1029" i="1"/>
  <c r="Q764" i="1"/>
  <c r="Q929" i="1"/>
  <c r="Q950" i="1"/>
  <c r="Q1077" i="1"/>
  <c r="Q1233" i="1"/>
  <c r="Q69" i="1"/>
  <c r="Q695" i="1"/>
  <c r="Q876" i="1"/>
  <c r="Q1109" i="1"/>
  <c r="Q899" i="1"/>
  <c r="Q809" i="1"/>
  <c r="Q808" i="1"/>
  <c r="Q846" i="1"/>
  <c r="Q852" i="1"/>
  <c r="Q230" i="1"/>
  <c r="Q472" i="1"/>
  <c r="Q245" i="1"/>
  <c r="Q396" i="1"/>
  <c r="Q1225" i="1"/>
  <c r="Q86" i="1"/>
  <c r="Q821" i="1"/>
  <c r="Q92" i="1"/>
  <c r="Q527" i="1"/>
  <c r="Q258" i="1"/>
  <c r="Q1158" i="1"/>
  <c r="Q186" i="1"/>
  <c r="Q365" i="1"/>
  <c r="Q1191" i="1"/>
  <c r="Q598" i="1"/>
  <c r="Q1159" i="1"/>
  <c r="Q989" i="1"/>
  <c r="Q1041" i="1"/>
  <c r="Q397" i="1"/>
  <c r="Q1210" i="1"/>
  <c r="Q911" i="1"/>
  <c r="Q337" i="1"/>
  <c r="Q148" i="1"/>
  <c r="Q748" i="1"/>
  <c r="Q1122" i="1"/>
  <c r="Q146" i="1"/>
  <c r="Q87" i="1"/>
  <c r="Q1258" i="1"/>
  <c r="Q305" i="1"/>
  <c r="Q350" i="1"/>
  <c r="Q479" i="1"/>
  <c r="Q620" i="1"/>
  <c r="Q1115" i="1"/>
  <c r="Q814" i="1"/>
  <c r="Q1192" i="1"/>
  <c r="Q137" i="1"/>
  <c r="Q614" i="1"/>
  <c r="Q693" i="1"/>
  <c r="Q673" i="1"/>
  <c r="Q338" i="1"/>
  <c r="Q1126" i="1"/>
  <c r="Q1094" i="1"/>
  <c r="Q786" i="1"/>
  <c r="Q122" i="1"/>
  <c r="Q986" i="1"/>
  <c r="Q753" i="1"/>
  <c r="Q862" i="1"/>
  <c r="Q984" i="1"/>
  <c r="Q1144" i="1"/>
  <c r="Q1143" i="1"/>
  <c r="Q837" i="1"/>
  <c r="Q563" i="1"/>
  <c r="Q830" i="1"/>
  <c r="Q648" i="1"/>
  <c r="Q256" i="1"/>
  <c r="Q61" i="1"/>
  <c r="Q1120" i="1"/>
  <c r="Q949" i="1"/>
  <c r="Q235" i="1"/>
  <c r="Q1078" i="1"/>
  <c r="Q1133" i="1"/>
  <c r="Q990" i="1"/>
  <c r="Q629" i="1"/>
  <c r="Q992" i="1"/>
  <c r="Q407" i="1"/>
  <c r="Q1079" i="1"/>
  <c r="Q780" i="1"/>
  <c r="Q1037" i="1"/>
  <c r="Q480" i="1"/>
  <c r="Q1095" i="1"/>
  <c r="Q1211" i="1"/>
  <c r="Q1205" i="1"/>
  <c r="Q376" i="1"/>
  <c r="Q328" i="1"/>
  <c r="Q528" i="1"/>
  <c r="Q33" i="1"/>
  <c r="Q640" i="1"/>
  <c r="Q1243" i="1"/>
  <c r="Q307" i="1"/>
  <c r="Q877" i="1"/>
  <c r="Q320" i="1"/>
  <c r="Q215" i="1"/>
  <c r="Q1021" i="1"/>
  <c r="Q834" i="1"/>
  <c r="Q329" i="1"/>
  <c r="Q838" i="1"/>
  <c r="Q89" i="1"/>
  <c r="Q51" i="1"/>
  <c r="Q912" i="1"/>
  <c r="Q680" i="1"/>
  <c r="Q470" i="1"/>
  <c r="Q374" i="1"/>
  <c r="Q217" i="1"/>
  <c r="Q529" i="1"/>
  <c r="Q293" i="1"/>
  <c r="Q704" i="1"/>
  <c r="Q878" i="1"/>
  <c r="Q233" i="1"/>
  <c r="Q37" i="1"/>
  <c r="Q160" i="1"/>
  <c r="Q795" i="1"/>
  <c r="Q1223" i="1"/>
  <c r="Q110" i="1"/>
  <c r="Q1065" i="1"/>
  <c r="Q848" i="1"/>
  <c r="Q398" i="1"/>
  <c r="Q23" i="1"/>
  <c r="Q409" i="1"/>
  <c r="Q319" i="1"/>
  <c r="Q286" i="1"/>
  <c r="Q1004" i="1"/>
  <c r="Q1099" i="1"/>
  <c r="Q503" i="1"/>
  <c r="Q879" i="1"/>
  <c r="Q471" i="1"/>
  <c r="Q459" i="1"/>
  <c r="Q557" i="1"/>
  <c r="Q747" i="1"/>
  <c r="Q352" i="1"/>
  <c r="Q587" i="1"/>
  <c r="Q849" i="1"/>
  <c r="Q706" i="1"/>
  <c r="Q1177" i="1"/>
  <c r="Q979" i="1"/>
  <c r="Q1043" i="1"/>
  <c r="Q399" i="1"/>
  <c r="Q366" i="1"/>
  <c r="Q1181" i="1"/>
  <c r="Q1080" i="1"/>
  <c r="Q872" i="1"/>
  <c r="Q585" i="1"/>
  <c r="Q914" i="1"/>
  <c r="Q831" i="1"/>
  <c r="Q1015" i="1"/>
  <c r="Q71" i="1"/>
  <c r="Q551" i="1"/>
  <c r="Q119" i="1"/>
  <c r="Q1057" i="1"/>
  <c r="Q769" i="1"/>
  <c r="Q900" i="1"/>
  <c r="Q273" i="1"/>
  <c r="Q631" i="1"/>
  <c r="Q161" i="1"/>
  <c r="Q688" i="1"/>
  <c r="Q274" i="1"/>
  <c r="Q1151" i="1"/>
  <c r="Q195" i="1"/>
  <c r="Q632" i="1"/>
  <c r="Q1227" i="1"/>
  <c r="Q504" i="1"/>
  <c r="Q869" i="1"/>
  <c r="Q530" i="1"/>
  <c r="Q1112" i="1"/>
  <c r="Q798" i="1"/>
  <c r="Q1206" i="1"/>
  <c r="Q62" i="1"/>
  <c r="Q377" i="1"/>
  <c r="Q1124" i="1"/>
  <c r="Q1049" i="1"/>
  <c r="Q843" i="1"/>
  <c r="Q124" i="1"/>
  <c r="Q410" i="1"/>
  <c r="Q1166" i="1"/>
  <c r="Q1140" i="1"/>
  <c r="Q344" i="1"/>
  <c r="Q411" i="1"/>
  <c r="Q463" i="1"/>
  <c r="Q1030" i="1"/>
  <c r="Q981" i="1"/>
  <c r="Q538" i="1"/>
  <c r="Q1228" i="1"/>
  <c r="Q908" i="1"/>
  <c r="Q535" i="1"/>
  <c r="Q308" i="1"/>
  <c r="Q713" i="1"/>
  <c r="Q358" i="1"/>
  <c r="Q1203" i="1"/>
  <c r="Q735" i="1"/>
  <c r="Q241" i="1"/>
  <c r="Q1168" i="1"/>
  <c r="Q1170" i="1"/>
  <c r="Q170" i="1"/>
  <c r="Q1169" i="1"/>
  <c r="Q505" i="1"/>
  <c r="Q658" i="1"/>
  <c r="Q345" i="1"/>
  <c r="Q484" i="1"/>
  <c r="Q81" i="1"/>
  <c r="Q1051" i="1"/>
  <c r="Q1052" i="1"/>
  <c r="Q188" i="1"/>
  <c r="Q955" i="1"/>
  <c r="Q106" i="1"/>
  <c r="Q449" i="1"/>
  <c r="Q189" i="1"/>
  <c r="Q1257" i="1"/>
  <c r="Q863" i="1"/>
  <c r="Q506" i="1"/>
  <c r="Q50" i="1"/>
  <c r="Q930" i="1"/>
  <c r="Q334" i="1"/>
  <c r="Q719" i="1"/>
  <c r="Q1031" i="1"/>
  <c r="Q1200" i="1"/>
  <c r="Q774" i="1"/>
  <c r="Q1157" i="1"/>
  <c r="Q681" i="1"/>
  <c r="Q659" i="1"/>
  <c r="Q868" i="1"/>
  <c r="Q435" i="1"/>
  <c r="Q1153" i="1"/>
  <c r="Q1098" i="1"/>
  <c r="Q1155" i="1"/>
  <c r="Q767" i="1"/>
  <c r="Q219" i="1"/>
  <c r="Q1105" i="1"/>
  <c r="Q220" i="1"/>
  <c r="Q559" i="1"/>
  <c r="Q1070" i="1"/>
  <c r="Q1234" i="1"/>
  <c r="Q937" i="1"/>
  <c r="Q1081" i="1"/>
  <c r="Q129" i="1"/>
  <c r="Q1117" i="1"/>
  <c r="Q462" i="1"/>
  <c r="Q884" i="1"/>
  <c r="Q720" i="1"/>
  <c r="Q356" i="1"/>
  <c r="Q660" i="1"/>
  <c r="Q507" i="1"/>
  <c r="Q856" i="1"/>
  <c r="Q477" i="1"/>
  <c r="Q367" i="1"/>
  <c r="Q1236" i="1"/>
  <c r="Q1082" i="1"/>
  <c r="Q1096" i="1"/>
  <c r="Q958" i="1"/>
  <c r="Q109" i="1"/>
  <c r="Q1089" i="1"/>
  <c r="Q691" i="1"/>
  <c r="Q1131" i="1"/>
  <c r="Q531" i="1"/>
  <c r="Q102" i="1"/>
  <c r="Q781" i="1"/>
  <c r="Q991" i="1"/>
  <c r="Q55" i="1"/>
  <c r="Q130" i="1"/>
  <c r="Q1218" i="1"/>
  <c r="Q413" i="1"/>
  <c r="Q74" i="1"/>
  <c r="Q100" i="1"/>
  <c r="Q626" i="1"/>
  <c r="Q982" i="1"/>
  <c r="Q938" i="1"/>
  <c r="Q883" i="1"/>
  <c r="Q946" i="1"/>
  <c r="Q1107" i="1"/>
  <c r="Q721" i="1"/>
  <c r="Q9" i="1"/>
  <c r="Q536" i="1"/>
  <c r="Q44" i="1"/>
  <c r="Q552" i="1"/>
  <c r="Q128" i="1"/>
  <c r="Q254" i="1"/>
  <c r="Q663" i="1"/>
  <c r="Q508" i="1"/>
  <c r="Q1084" i="1"/>
  <c r="Q627" i="1"/>
  <c r="Q333" i="1"/>
  <c r="Q1189" i="1"/>
  <c r="Q198" i="1"/>
  <c r="Q172" i="1"/>
  <c r="Q441" i="1"/>
  <c r="Q870" i="1"/>
  <c r="Q1226" i="1"/>
  <c r="Q456" i="1"/>
  <c r="Q664" i="1"/>
  <c r="Q1141" i="1"/>
  <c r="Q952" i="1"/>
  <c r="Q1114" i="1"/>
  <c r="Q150" i="1"/>
  <c r="Q457" i="1"/>
  <c r="Q173" i="1"/>
  <c r="Q385" i="1"/>
  <c r="Q134" i="1"/>
  <c r="Q353" i="1"/>
  <c r="Q311" i="1"/>
  <c r="Q354" i="1"/>
  <c r="Q871" i="1"/>
  <c r="Q532" i="1"/>
  <c r="Q665" i="1"/>
  <c r="Q347" i="1"/>
  <c r="Q35" i="1"/>
  <c r="Q478" i="1"/>
  <c r="Q794" i="1"/>
  <c r="Q666" i="1"/>
  <c r="Q679" i="1"/>
  <c r="Q447" i="1"/>
  <c r="Q1231" i="1"/>
  <c r="Q886" i="1"/>
  <c r="Q702" i="1"/>
  <c r="Q864" i="1"/>
  <c r="Q682" i="1"/>
  <c r="Q683" i="1"/>
  <c r="M3" i="1"/>
  <c r="L1348" i="1" l="1"/>
  <c r="N1348" i="1" s="1"/>
  <c r="L1349" i="1"/>
  <c r="N1349" i="1" s="1"/>
  <c r="L1346" i="1"/>
  <c r="N1346" i="1" s="1"/>
  <c r="N1347" i="1"/>
  <c r="L1345" i="1"/>
  <c r="L1343" i="1"/>
  <c r="N1343" i="1" s="1"/>
  <c r="L1344" i="1"/>
  <c r="N1344" i="1" s="1"/>
  <c r="L1341" i="1"/>
  <c r="N1341" i="1" s="1"/>
  <c r="L1342" i="1"/>
  <c r="N1342" i="1" s="1"/>
  <c r="L1216" i="1"/>
  <c r="N1216" i="1" s="1"/>
  <c r="L1339" i="1"/>
  <c r="N1339" i="1" s="1"/>
  <c r="L1340" i="1"/>
  <c r="N1340" i="1" s="1"/>
  <c r="L1337" i="1"/>
  <c r="N1337" i="1" s="1"/>
  <c r="L1338" i="1"/>
  <c r="N1338" i="1" s="1"/>
  <c r="L1334" i="1"/>
  <c r="N1334" i="1" s="1"/>
  <c r="L1336" i="1"/>
  <c r="N1336" i="1" s="1"/>
  <c r="L1332" i="1"/>
  <c r="N1332" i="1" s="1"/>
  <c r="L1333" i="1"/>
  <c r="N1333" i="1" s="1"/>
  <c r="L1330" i="1"/>
  <c r="N1330" i="1" s="1"/>
  <c r="L1331" i="1"/>
  <c r="N1331" i="1" s="1"/>
  <c r="L1328" i="1"/>
  <c r="N1328" i="1" s="1"/>
  <c r="L1329" i="1"/>
  <c r="N1329" i="1" s="1"/>
  <c r="L1326" i="1"/>
  <c r="N1326" i="1" s="1"/>
  <c r="L1327" i="1"/>
  <c r="N1327" i="1" s="1"/>
  <c r="L1324" i="1"/>
  <c r="N1324" i="1" s="1"/>
  <c r="L1325" i="1"/>
  <c r="N1325" i="1" s="1"/>
  <c r="L1322" i="1"/>
  <c r="N1322" i="1" s="1"/>
  <c r="L1323" i="1"/>
  <c r="N1323" i="1" s="1"/>
  <c r="L1320" i="1"/>
  <c r="N1320" i="1" s="1"/>
  <c r="L1321" i="1"/>
  <c r="N1321" i="1" s="1"/>
  <c r="L1318" i="1"/>
  <c r="N1318" i="1" s="1"/>
  <c r="L1319" i="1"/>
  <c r="N1319" i="1" s="1"/>
  <c r="L1316" i="1"/>
  <c r="N1316" i="1" s="1"/>
  <c r="L1317" i="1"/>
  <c r="N1317" i="1" s="1"/>
  <c r="L1314" i="1"/>
  <c r="N1314" i="1" s="1"/>
  <c r="L1315" i="1"/>
  <c r="N1315" i="1" s="1"/>
  <c r="L1312" i="1"/>
  <c r="N1312" i="1" s="1"/>
  <c r="L1313" i="1"/>
  <c r="N1313" i="1" s="1"/>
  <c r="L1310" i="1"/>
  <c r="N1310" i="1" s="1"/>
  <c r="L1311" i="1"/>
  <c r="N1311" i="1" s="1"/>
  <c r="L1308" i="1"/>
  <c r="N1308" i="1" s="1"/>
  <c r="L1309" i="1"/>
  <c r="N1309" i="1" s="1"/>
  <c r="L1306" i="1"/>
  <c r="N1306" i="1" s="1"/>
  <c r="L1307" i="1"/>
  <c r="N1307" i="1" s="1"/>
  <c r="L1058" i="1"/>
  <c r="N1058" i="1" s="1"/>
  <c r="L1305" i="1"/>
  <c r="N1305" i="1" s="1"/>
  <c r="L389" i="1"/>
  <c r="N389" i="1" s="1"/>
  <c r="L1116" i="1"/>
  <c r="N1116" i="1" s="1"/>
  <c r="L1304" i="1"/>
  <c r="N1304" i="1" s="1"/>
  <c r="L1303" i="1"/>
  <c r="N1303" i="1" s="1"/>
  <c r="L1150" i="1"/>
  <c r="N1150" i="1" s="1"/>
  <c r="L1302" i="1"/>
  <c r="N1302" i="1" s="1"/>
  <c r="L1300" i="1"/>
  <c r="N1300" i="1" s="1"/>
  <c r="L1301" i="1"/>
  <c r="N1301" i="1" s="1"/>
  <c r="L1299" i="1"/>
  <c r="N1299" i="1" s="1"/>
  <c r="L1274" i="1"/>
  <c r="N1274" i="1" s="1"/>
  <c r="L1297" i="1"/>
  <c r="N1297" i="1" s="1"/>
  <c r="L1298" i="1"/>
  <c r="N1298" i="1" s="1"/>
  <c r="L278" i="1"/>
  <c r="N278" i="1" s="1"/>
  <c r="L300" i="1"/>
  <c r="N300" i="1" s="1"/>
  <c r="L223" i="1"/>
  <c r="N223" i="1" s="1"/>
  <c r="L1288" i="1"/>
  <c r="N1288" i="1" s="1"/>
  <c r="L355" i="1"/>
  <c r="N355" i="1" s="1"/>
  <c r="L806" i="1"/>
  <c r="N806" i="1" s="1"/>
  <c r="L1296" i="1"/>
  <c r="N1296" i="1" s="1"/>
  <c r="L1193" i="1"/>
  <c r="N1193" i="1" s="1"/>
  <c r="L1207" i="1"/>
  <c r="N1207" i="1" s="1"/>
  <c r="L489" i="1"/>
  <c r="N489" i="1" s="1"/>
  <c r="L790" i="1"/>
  <c r="N790" i="1" s="1"/>
  <c r="L907" i="1"/>
  <c r="N907" i="1" s="1"/>
  <c r="L906" i="1"/>
  <c r="N906" i="1" s="1"/>
  <c r="L1295" i="1"/>
  <c r="N1295" i="1" s="1"/>
  <c r="L1293" i="1"/>
  <c r="N1293" i="1" s="1"/>
  <c r="L1294" i="1"/>
  <c r="N1294" i="1" s="1"/>
  <c r="L1291" i="1"/>
  <c r="N1291" i="1" s="1"/>
  <c r="L1292" i="1"/>
  <c r="N1292" i="1" s="1"/>
  <c r="L1290" i="1"/>
  <c r="N1290" i="1" s="1"/>
  <c r="L1289" i="1"/>
  <c r="N1289" i="1" s="1"/>
  <c r="L1287" i="1"/>
  <c r="N1287" i="1" s="1"/>
  <c r="L1286" i="1"/>
  <c r="N1286" i="1" s="1"/>
  <c r="L1285" i="1"/>
  <c r="N1285" i="1" s="1"/>
  <c r="L69" i="1"/>
  <c r="N69" i="1" s="1"/>
  <c r="L70" i="1"/>
  <c r="N70" i="1" s="1"/>
  <c r="L65" i="1"/>
  <c r="N65" i="1" s="1"/>
  <c r="L60" i="1"/>
  <c r="L61" i="1"/>
  <c r="N61" i="1" s="1"/>
  <c r="L62" i="1"/>
  <c r="N62" i="1" s="1"/>
  <c r="L63" i="1"/>
  <c r="N63" i="1" s="1"/>
  <c r="L55" i="1"/>
  <c r="N55" i="1" s="1"/>
  <c r="L56" i="1"/>
  <c r="N56" i="1" s="1"/>
  <c r="L57" i="1"/>
  <c r="N57" i="1" s="1"/>
  <c r="L52" i="1"/>
  <c r="N52" i="1" s="1"/>
  <c r="L53" i="1"/>
  <c r="L54" i="1"/>
  <c r="N54" i="1" s="1"/>
  <c r="L50" i="1"/>
  <c r="N50" i="1" s="1"/>
  <c r="L47" i="1"/>
  <c r="N47" i="1" s="1"/>
  <c r="L48" i="1"/>
  <c r="N48" i="1" s="1"/>
  <c r="L43" i="1"/>
  <c r="N43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72" i="1"/>
  <c r="N1272" i="1" s="1"/>
  <c r="L1273" i="1"/>
  <c r="L1267" i="1"/>
  <c r="N1267" i="1" s="1"/>
  <c r="L1268" i="1"/>
  <c r="N1268" i="1" s="1"/>
  <c r="L1269" i="1"/>
  <c r="N1269" i="1" s="1"/>
  <c r="L1270" i="1"/>
  <c r="N1270" i="1" s="1"/>
  <c r="L1264" i="1"/>
  <c r="N1264" i="1" s="1"/>
  <c r="L581" i="1"/>
  <c r="N581" i="1" s="1"/>
  <c r="L1152" i="1"/>
  <c r="N1152" i="1" s="1"/>
  <c r="L490" i="1"/>
  <c r="N490" i="1" s="1"/>
  <c r="L112" i="1"/>
  <c r="N112" i="1" s="1"/>
  <c r="L580" i="1"/>
  <c r="N580" i="1" s="1"/>
  <c r="L579" i="1"/>
  <c r="N579" i="1" s="1"/>
  <c r="L578" i="1"/>
  <c r="N578" i="1" s="1"/>
  <c r="L348" i="1"/>
  <c r="N348" i="1" s="1"/>
  <c r="L851" i="1"/>
  <c r="N851" i="1" s="1"/>
  <c r="L1100" i="1"/>
  <c r="N1100" i="1" s="1"/>
  <c r="L1090" i="1"/>
  <c r="N1090" i="1" s="1"/>
  <c r="L919" i="1"/>
  <c r="N919" i="1" s="1"/>
  <c r="L1118" i="1"/>
  <c r="N1118" i="1" s="1"/>
  <c r="L444" i="1"/>
  <c r="N444" i="1" s="1"/>
  <c r="L321" i="1"/>
  <c r="N321" i="1" s="1"/>
  <c r="L486" i="1"/>
  <c r="N486" i="1" s="1"/>
  <c r="L857" i="1"/>
  <c r="N857" i="1" s="1"/>
  <c r="L302" i="1"/>
  <c r="N302" i="1" s="1"/>
  <c r="L549" i="1"/>
  <c r="N549" i="1" s="1"/>
  <c r="L801" i="1"/>
  <c r="N801" i="1" s="1"/>
  <c r="N1273" i="1"/>
  <c r="L1271" i="1"/>
  <c r="N1271" i="1" s="1"/>
  <c r="L1266" i="1"/>
  <c r="N1266" i="1" s="1"/>
  <c r="L1265" i="1"/>
  <c r="N1265" i="1" s="1"/>
  <c r="L874" i="1"/>
  <c r="N874" i="1" s="1"/>
  <c r="L222" i="1"/>
  <c r="N222" i="1" s="1"/>
  <c r="L174" i="1"/>
  <c r="N174" i="1" s="1"/>
  <c r="L229" i="1"/>
  <c r="N229" i="1" s="1"/>
  <c r="L117" i="1"/>
  <c r="N117" i="1" s="1"/>
  <c r="L633" i="1"/>
  <c r="N633" i="1" s="1"/>
  <c r="L945" i="1"/>
  <c r="N945" i="1" s="1"/>
  <c r="L1145" i="1"/>
  <c r="N1145" i="1" s="1"/>
  <c r="L1068" i="1"/>
  <c r="N1068" i="1" s="1"/>
  <c r="L766" i="1"/>
  <c r="N766" i="1" s="1"/>
  <c r="L782" i="1"/>
  <c r="N782" i="1" s="1"/>
  <c r="L783" i="1"/>
  <c r="N783" i="1" s="1"/>
  <c r="L136" i="1"/>
  <c r="N136" i="1" s="1"/>
  <c r="L638" i="1"/>
  <c r="N638" i="1" s="1"/>
  <c r="L446" i="1"/>
  <c r="N446" i="1" s="1"/>
  <c r="L298" i="1"/>
  <c r="N298" i="1" s="1"/>
  <c r="L1220" i="1"/>
  <c r="N1220" i="1" s="1"/>
  <c r="L290" i="1"/>
  <c r="N290" i="1" s="1"/>
  <c r="L487" i="1"/>
  <c r="N487" i="1" s="1"/>
  <c r="L684" i="1"/>
  <c r="N684" i="1" s="1"/>
  <c r="L1067" i="1"/>
  <c r="N1067" i="1" s="1"/>
  <c r="L1185" i="1"/>
  <c r="N1185" i="1" s="1"/>
  <c r="L38" i="1"/>
  <c r="N38" i="1" s="1"/>
  <c r="L343" i="1"/>
  <c r="N343" i="1" s="1"/>
  <c r="L283" i="1"/>
  <c r="N283" i="1" s="1"/>
  <c r="L184" i="1"/>
  <c r="N184" i="1" s="1"/>
  <c r="L149" i="1"/>
  <c r="N149" i="1" s="1"/>
  <c r="L607" i="1"/>
  <c r="N607" i="1" s="1"/>
  <c r="L1108" i="1"/>
  <c r="N1108" i="1" s="1"/>
  <c r="L1229" i="1"/>
  <c r="N1229" i="1" s="1"/>
  <c r="L746" i="1"/>
  <c r="N746" i="1" s="1"/>
  <c r="L897" i="1"/>
  <c r="N897" i="1" s="1"/>
  <c r="L30" i="1"/>
  <c r="N30" i="1" s="1"/>
  <c r="L1121" i="1"/>
  <c r="N1121" i="1" s="1"/>
  <c r="L740" i="1"/>
  <c r="N740" i="1" s="1"/>
  <c r="L133" i="1"/>
  <c r="N133" i="1" s="1"/>
  <c r="L155" i="1"/>
  <c r="N155" i="1" s="1"/>
  <c r="L390" i="1"/>
  <c r="N390" i="1" s="1"/>
  <c r="L125" i="1"/>
  <c r="N125" i="1" s="1"/>
  <c r="L650" i="1"/>
  <c r="N650" i="1" s="1"/>
  <c r="L182" i="1"/>
  <c r="N182" i="1" s="1"/>
  <c r="L10" i="1"/>
  <c r="N10" i="1" s="1"/>
  <c r="L725" i="1"/>
  <c r="N725" i="1" s="1"/>
  <c r="L424" i="1"/>
  <c r="N424" i="1" s="1"/>
  <c r="L588" i="1"/>
  <c r="N588" i="1" s="1"/>
  <c r="L969" i="1"/>
  <c r="N969" i="1" s="1"/>
  <c r="L304" i="1"/>
  <c r="N304" i="1" s="1"/>
  <c r="L400" i="1"/>
  <c r="N400" i="1" s="1"/>
  <c r="L175" i="1"/>
  <c r="N175" i="1" s="1"/>
  <c r="L895" i="1"/>
  <c r="N895" i="1" s="1"/>
  <c r="L832" i="1"/>
  <c r="N832" i="1" s="1"/>
  <c r="L1044" i="1"/>
  <c r="N1044" i="1" s="1"/>
  <c r="L1039" i="1"/>
  <c r="N1039" i="1" s="1"/>
  <c r="L565" i="1"/>
  <c r="N565" i="1" s="1"/>
  <c r="L1055" i="1"/>
  <c r="N1055" i="1" s="1"/>
  <c r="L363" i="1"/>
  <c r="N363" i="1" s="1"/>
  <c r="L534" i="1"/>
  <c r="N534" i="1" s="1"/>
  <c r="L826" i="1"/>
  <c r="N826" i="1" s="1"/>
  <c r="L41" i="1"/>
  <c r="N41" i="1" s="1"/>
  <c r="L201" i="1"/>
  <c r="N201" i="1" s="1"/>
  <c r="L200" i="1"/>
  <c r="N200" i="1" s="1"/>
  <c r="L1129" i="1"/>
  <c r="N1129" i="1" s="1"/>
  <c r="L873" i="1"/>
  <c r="N873" i="1" s="1"/>
  <c r="L415" i="1"/>
  <c r="N415" i="1" s="1"/>
  <c r="L36" i="1"/>
  <c r="N36" i="1" s="1"/>
  <c r="L1005" i="1"/>
  <c r="N1005" i="1" s="1"/>
  <c r="L1263" i="1"/>
  <c r="L166" i="1"/>
  <c r="N166" i="1" s="1"/>
  <c r="L265" i="1"/>
  <c r="N265" i="1" s="1"/>
  <c r="L670" i="1"/>
  <c r="N670" i="1" s="1"/>
  <c r="L669" i="1"/>
  <c r="N669" i="1" s="1"/>
  <c r="L833" i="1"/>
  <c r="N833" i="1" s="1"/>
  <c r="L896" i="1"/>
  <c r="N896" i="1" s="1"/>
  <c r="L724" i="1"/>
  <c r="N724" i="1" s="1"/>
  <c r="L199" i="1"/>
  <c r="N199" i="1" s="1"/>
  <c r="L1088" i="1"/>
  <c r="N1088" i="1" s="1"/>
  <c r="L303" i="1"/>
  <c r="N303" i="1" s="1"/>
  <c r="L561" i="1"/>
  <c r="N561" i="1" s="1"/>
  <c r="L839" i="1"/>
  <c r="N839" i="1" s="1"/>
  <c r="L432" i="1"/>
  <c r="N432" i="1" s="1"/>
  <c r="L572" i="1"/>
  <c r="N572" i="1" s="1"/>
  <c r="L1038" i="1"/>
  <c r="N1038" i="1" s="1"/>
  <c r="L386" i="1"/>
  <c r="N386" i="1" s="1"/>
  <c r="L743" i="1"/>
  <c r="N743" i="1" s="1"/>
  <c r="L1212" i="1"/>
  <c r="N1212" i="1" s="1"/>
  <c r="L236" i="1"/>
  <c r="N236" i="1" s="1"/>
  <c r="L1066" i="1"/>
  <c r="N1066" i="1" s="1"/>
  <c r="L985" i="1"/>
  <c r="N985" i="1" s="1"/>
  <c r="L252" i="1"/>
  <c r="N252" i="1" s="1"/>
  <c r="L419" i="1"/>
  <c r="N419" i="1" s="1"/>
  <c r="L268" i="1"/>
  <c r="N268" i="1" s="1"/>
  <c r="L586" i="1"/>
  <c r="N586" i="1" s="1"/>
  <c r="L232" i="1"/>
  <c r="N232" i="1" s="1"/>
  <c r="L226" i="1"/>
  <c r="N226" i="1" s="1"/>
  <c r="L840" i="1"/>
  <c r="N840" i="1" s="1"/>
  <c r="L1219" i="1"/>
  <c r="N1219" i="1" s="1"/>
  <c r="L921" i="1"/>
  <c r="N921" i="1" s="1"/>
  <c r="L1054" i="1"/>
  <c r="N1054" i="1" s="1"/>
  <c r="L357" i="1"/>
  <c r="N357" i="1" s="1"/>
  <c r="L99" i="1"/>
  <c r="N99" i="1" s="1"/>
  <c r="L773" i="1"/>
  <c r="N773" i="1" s="1"/>
  <c r="L934" i="1"/>
  <c r="N934" i="1" s="1"/>
  <c r="L1244" i="1"/>
  <c r="N1244" i="1" s="1"/>
  <c r="L812" i="1"/>
  <c r="N812" i="1" s="1"/>
  <c r="L443" i="1"/>
  <c r="N443" i="1" s="1"/>
  <c r="L918" i="1"/>
  <c r="N918" i="1" s="1"/>
  <c r="L116" i="1"/>
  <c r="L758" i="1"/>
  <c r="N758" i="1" s="1"/>
  <c r="N116" i="1"/>
  <c r="L88" i="1"/>
  <c r="N88" i="1" s="1"/>
  <c r="L804" i="1"/>
  <c r="N804" i="1" s="1"/>
  <c r="L1104" i="1"/>
  <c r="N1104" i="1" s="1"/>
  <c r="L485" i="1"/>
  <c r="N485" i="1" s="1"/>
  <c r="L988" i="1"/>
  <c r="N988" i="1" s="1"/>
  <c r="L202" i="1"/>
  <c r="N202" i="1" s="1"/>
  <c r="L980" i="1"/>
  <c r="N980" i="1" s="1"/>
  <c r="L1254" i="1"/>
  <c r="N1254" i="1" s="1"/>
  <c r="L1248" i="1"/>
  <c r="N1248" i="1" s="1"/>
  <c r="L1249" i="1"/>
  <c r="L1232" i="1"/>
  <c r="N1232" i="1" s="1"/>
  <c r="L1240" i="1"/>
  <c r="N1240" i="1" s="1"/>
  <c r="L1237" i="1"/>
  <c r="N1237" i="1" s="1"/>
  <c r="L1224" i="1"/>
  <c r="N1224" i="1" s="1"/>
  <c r="L1213" i="1"/>
  <c r="N1213" i="1" s="1"/>
  <c r="L1179" i="1"/>
  <c r="N1179" i="1" s="1"/>
  <c r="L1172" i="1"/>
  <c r="N1172" i="1" s="1"/>
  <c r="L1161" i="1"/>
  <c r="N1161" i="1" s="1"/>
  <c r="L1130" i="1"/>
  <c r="N1130" i="1" s="1"/>
  <c r="L1123" i="1"/>
  <c r="N1123" i="1" s="1"/>
  <c r="L1110" i="1"/>
  <c r="N1110" i="1" s="1"/>
  <c r="L1111" i="1"/>
  <c r="N1111" i="1" s="1"/>
  <c r="L1024" i="1"/>
  <c r="N1024" i="1" s="1"/>
  <c r="L994" i="1"/>
  <c r="N994" i="1" s="1"/>
  <c r="L978" i="1"/>
  <c r="N978" i="1" s="1"/>
  <c r="L973" i="1"/>
  <c r="L965" i="1"/>
  <c r="N965" i="1" s="1"/>
  <c r="L960" i="1"/>
  <c r="N960" i="1" s="1"/>
  <c r="L931" i="1"/>
  <c r="N931" i="1" s="1"/>
  <c r="L932" i="1"/>
  <c r="L933" i="1"/>
  <c r="N933" i="1" s="1"/>
  <c r="L923" i="1"/>
  <c r="N923" i="1" s="1"/>
  <c r="L924" i="1"/>
  <c r="N924" i="1" s="1"/>
  <c r="L916" i="1"/>
  <c r="L917" i="1"/>
  <c r="N917" i="1" s="1"/>
  <c r="L901" i="1"/>
  <c r="N901" i="1" s="1"/>
  <c r="L898" i="1"/>
  <c r="N898" i="1" s="1"/>
  <c r="L887" i="1"/>
  <c r="N887" i="1" s="1"/>
  <c r="L889" i="1"/>
  <c r="N889" i="1" s="1"/>
  <c r="L881" i="1"/>
  <c r="N881" i="1" s="1"/>
  <c r="L866" i="1"/>
  <c r="L867" i="1"/>
  <c r="N867" i="1" s="1"/>
  <c r="L829" i="1"/>
  <c r="N829" i="1" s="1"/>
  <c r="L817" i="1"/>
  <c r="N817" i="1" s="1"/>
  <c r="L789" i="1"/>
  <c r="N789" i="1" s="1"/>
  <c r="L787" i="1"/>
  <c r="N787" i="1" s="1"/>
  <c r="L770" i="1"/>
  <c r="N770" i="1" s="1"/>
  <c r="L771" i="1"/>
  <c r="N771" i="1" s="1"/>
  <c r="L744" i="1"/>
  <c r="N744" i="1" s="1"/>
  <c r="L711" i="1"/>
  <c r="L651" i="1"/>
  <c r="N651" i="1" s="1"/>
  <c r="L630" i="1"/>
  <c r="N630" i="1" s="1"/>
  <c r="L618" i="1"/>
  <c r="N618" i="1" s="1"/>
  <c r="L591" i="1"/>
  <c r="N591" i="1" s="1"/>
  <c r="L574" i="1"/>
  <c r="N574" i="1" s="1"/>
  <c r="L575" i="1"/>
  <c r="N575" i="1" s="1"/>
  <c r="L569" i="1"/>
  <c r="N569" i="1" s="1"/>
  <c r="L570" i="1"/>
  <c r="L556" i="1"/>
  <c r="N556" i="1" s="1"/>
  <c r="L554" i="1"/>
  <c r="N554" i="1" s="1"/>
  <c r="L492" i="1"/>
  <c r="N492" i="1" s="1"/>
  <c r="L493" i="1"/>
  <c r="L461" i="1"/>
  <c r="N461" i="1" s="1"/>
  <c r="L431" i="1"/>
  <c r="N431" i="1" s="1"/>
  <c r="L425" i="1"/>
  <c r="N425" i="1" s="1"/>
  <c r="L414" i="1"/>
  <c r="N414" i="1" s="1"/>
  <c r="L412" i="1"/>
  <c r="N412" i="1" s="1"/>
  <c r="L392" i="1"/>
  <c r="N392" i="1" s="1"/>
  <c r="L388" i="1"/>
  <c r="N388" i="1" s="1"/>
  <c r="L378" i="1"/>
  <c r="N378" i="1" s="1"/>
  <c r="L382" i="1"/>
  <c r="N382" i="1" s="1"/>
  <c r="L371" i="1"/>
  <c r="N371" i="1" s="1"/>
  <c r="L341" i="1"/>
  <c r="N341" i="1" s="1"/>
  <c r="L332" i="1"/>
  <c r="N332" i="1" s="1"/>
  <c r="L325" i="1"/>
  <c r="N325" i="1" s="1"/>
  <c r="L309" i="1"/>
  <c r="N309" i="1" s="1"/>
  <c r="L301" i="1"/>
  <c r="N301" i="1" s="1"/>
  <c r="L291" i="1"/>
  <c r="L292" i="1"/>
  <c r="N292" i="1" s="1"/>
  <c r="L287" i="1"/>
  <c r="N287" i="1" s="1"/>
  <c r="L282" i="1"/>
  <c r="N282" i="1" s="1"/>
  <c r="L260" i="1"/>
  <c r="N260" i="1" s="1"/>
  <c r="L250" i="1"/>
  <c r="N250" i="1" s="1"/>
  <c r="L211" i="1"/>
  <c r="N211" i="1" s="1"/>
  <c r="L168" i="1"/>
  <c r="N168" i="1" s="1"/>
  <c r="L165" i="1"/>
  <c r="L163" i="1"/>
  <c r="N163" i="1" s="1"/>
  <c r="L131" i="1"/>
  <c r="N131" i="1" s="1"/>
  <c r="L75" i="1"/>
  <c r="N75" i="1" s="1"/>
  <c r="L85" i="1"/>
  <c r="L541" i="1"/>
  <c r="N541" i="1" s="1"/>
  <c r="L775" i="1"/>
  <c r="N775" i="1" s="1"/>
  <c r="L1198" i="1"/>
  <c r="N1198" i="1" s="1"/>
  <c r="L1097" i="1"/>
  <c r="N1097" i="1" s="1"/>
  <c r="L442" i="1"/>
  <c r="N442" i="1" s="1"/>
  <c r="L42" i="1"/>
  <c r="N42" i="1" s="1"/>
  <c r="L731" i="1"/>
  <c r="N731" i="1" s="1"/>
  <c r="L605" i="1"/>
  <c r="N605" i="1" s="1"/>
  <c r="L101" i="1"/>
  <c r="N101" i="1" s="1"/>
  <c r="L956" i="1"/>
  <c r="N956" i="1" s="1"/>
  <c r="L1238" i="1"/>
  <c r="N1238" i="1" s="1"/>
  <c r="L1182" i="1"/>
  <c r="N1182" i="1" s="1"/>
  <c r="L262" i="1"/>
  <c r="N262" i="1" s="1"/>
  <c r="L943" i="1"/>
  <c r="N943" i="1" s="1"/>
  <c r="L947" i="1"/>
  <c r="N947" i="1" s="1"/>
  <c r="L159" i="1"/>
  <c r="N159" i="1" s="1"/>
  <c r="L646" i="1"/>
  <c r="N646" i="1" s="1"/>
  <c r="L1178" i="1"/>
  <c r="N1178" i="1" s="1"/>
  <c r="L762" i="1"/>
  <c r="N762" i="1" s="1"/>
  <c r="L181" i="1"/>
  <c r="N181" i="1" s="1"/>
  <c r="L925" i="1"/>
  <c r="N925" i="1" s="1"/>
  <c r="L141" i="1"/>
  <c r="N141" i="1" s="1"/>
  <c r="L712" i="1"/>
  <c r="N712" i="1" s="1"/>
  <c r="L491" i="1"/>
  <c r="N491" i="1" s="1"/>
  <c r="L825" i="1"/>
  <c r="N825" i="1" s="1"/>
  <c r="L270" i="1"/>
  <c r="N270" i="1" s="1"/>
  <c r="L310" i="1"/>
  <c r="N310" i="1" s="1"/>
  <c r="L639" i="1"/>
  <c r="N639" i="1" s="1"/>
  <c r="L1204" i="1"/>
  <c r="N1204" i="1" s="1"/>
  <c r="L359" i="1"/>
  <c r="N359" i="1" s="1"/>
  <c r="L936" i="1"/>
  <c r="N936" i="1" s="1"/>
  <c r="L1162" i="1"/>
  <c r="N1162" i="1" s="1"/>
  <c r="L90" i="1"/>
  <c r="N90" i="1" s="1"/>
  <c r="L1156" i="1"/>
  <c r="N1156" i="1" s="1"/>
  <c r="L772" i="1"/>
  <c r="N772" i="1" s="1"/>
  <c r="L791" i="1"/>
  <c r="N791" i="1" s="1"/>
  <c r="L120" i="1"/>
  <c r="N120" i="1" s="1"/>
  <c r="L96" i="1"/>
  <c r="N96" i="1" s="1"/>
  <c r="L9" i="1"/>
  <c r="L11" i="1"/>
  <c r="N11" i="1" s="1"/>
  <c r="L12" i="1"/>
  <c r="N12" i="1" s="1"/>
  <c r="L13" i="1"/>
  <c r="N13" i="1" s="1"/>
  <c r="L14" i="1"/>
  <c r="L15" i="1"/>
  <c r="L16" i="1"/>
  <c r="N16" i="1" s="1"/>
  <c r="L17" i="1"/>
  <c r="N17" i="1" s="1"/>
  <c r="L18" i="1"/>
  <c r="L19" i="1"/>
  <c r="N19" i="1" s="1"/>
  <c r="L20" i="1"/>
  <c r="N20" i="1" s="1"/>
  <c r="L21" i="1"/>
  <c r="N21" i="1" s="1"/>
  <c r="L22" i="1"/>
  <c r="L23" i="1"/>
  <c r="N23" i="1" s="1"/>
  <c r="L24" i="1"/>
  <c r="N24" i="1" s="1"/>
  <c r="L25" i="1"/>
  <c r="N25" i="1" s="1"/>
  <c r="L26" i="1"/>
  <c r="L27" i="1"/>
  <c r="N27" i="1" s="1"/>
  <c r="L28" i="1"/>
  <c r="N28" i="1" s="1"/>
  <c r="L29" i="1"/>
  <c r="N29" i="1" s="1"/>
  <c r="L31" i="1"/>
  <c r="L32" i="1"/>
  <c r="N32" i="1" s="1"/>
  <c r="L33" i="1"/>
  <c r="N33" i="1" s="1"/>
  <c r="L34" i="1"/>
  <c r="N34" i="1" s="1"/>
  <c r="L35" i="1"/>
  <c r="L37" i="1"/>
  <c r="N37" i="1" s="1"/>
  <c r="L39" i="1"/>
  <c r="N39" i="1" s="1"/>
  <c r="L40" i="1"/>
  <c r="N40" i="1" s="1"/>
  <c r="L44" i="1"/>
  <c r="L45" i="1"/>
  <c r="N45" i="1" s="1"/>
  <c r="L46" i="1"/>
  <c r="N46" i="1" s="1"/>
  <c r="L49" i="1"/>
  <c r="N49" i="1" s="1"/>
  <c r="L51" i="1"/>
  <c r="L58" i="1"/>
  <c r="N58" i="1" s="1"/>
  <c r="L59" i="1"/>
  <c r="N59" i="1" s="1"/>
  <c r="L64" i="1"/>
  <c r="N64" i="1" s="1"/>
  <c r="L66" i="1"/>
  <c r="L67" i="1"/>
  <c r="N67" i="1" s="1"/>
  <c r="L68" i="1"/>
  <c r="N68" i="1" s="1"/>
  <c r="L71" i="1"/>
  <c r="N71" i="1" s="1"/>
  <c r="L72" i="1"/>
  <c r="L73" i="1"/>
  <c r="N73" i="1" s="1"/>
  <c r="L74" i="1"/>
  <c r="N74" i="1" s="1"/>
  <c r="L76" i="1"/>
  <c r="N76" i="1" s="1"/>
  <c r="L77" i="1"/>
  <c r="L78" i="1"/>
  <c r="N78" i="1" s="1"/>
  <c r="L79" i="1"/>
  <c r="N79" i="1" s="1"/>
  <c r="L80" i="1"/>
  <c r="N80" i="1" s="1"/>
  <c r="L81" i="1"/>
  <c r="L82" i="1"/>
  <c r="N82" i="1" s="1"/>
  <c r="L83" i="1"/>
  <c r="N83" i="1" s="1"/>
  <c r="L84" i="1"/>
  <c r="N84" i="1" s="1"/>
  <c r="L86" i="1"/>
  <c r="L87" i="1"/>
  <c r="N87" i="1" s="1"/>
  <c r="L89" i="1"/>
  <c r="N89" i="1" s="1"/>
  <c r="L91" i="1"/>
  <c r="N91" i="1" s="1"/>
  <c r="L92" i="1"/>
  <c r="L93" i="1"/>
  <c r="N93" i="1" s="1"/>
  <c r="L94" i="1"/>
  <c r="N94" i="1" s="1"/>
  <c r="L95" i="1"/>
  <c r="N95" i="1" s="1"/>
  <c r="L97" i="1"/>
  <c r="L98" i="1"/>
  <c r="N98" i="1" s="1"/>
  <c r="L100" i="1"/>
  <c r="N100" i="1" s="1"/>
  <c r="L102" i="1"/>
  <c r="N102" i="1" s="1"/>
  <c r="L103" i="1"/>
  <c r="L104" i="1"/>
  <c r="N104" i="1" s="1"/>
  <c r="L105" i="1"/>
  <c r="N105" i="1" s="1"/>
  <c r="L106" i="1"/>
  <c r="N106" i="1" s="1"/>
  <c r="L107" i="1"/>
  <c r="L108" i="1"/>
  <c r="N108" i="1" s="1"/>
  <c r="L109" i="1"/>
  <c r="N109" i="1" s="1"/>
  <c r="L110" i="1"/>
  <c r="N110" i="1" s="1"/>
  <c r="L111" i="1"/>
  <c r="L113" i="1"/>
  <c r="L114" i="1"/>
  <c r="N114" i="1" s="1"/>
  <c r="L115" i="1"/>
  <c r="N115" i="1" s="1"/>
  <c r="L118" i="1"/>
  <c r="L119" i="1"/>
  <c r="N119" i="1" s="1"/>
  <c r="L121" i="1"/>
  <c r="N121" i="1" s="1"/>
  <c r="L122" i="1"/>
  <c r="N122" i="1" s="1"/>
  <c r="L123" i="1"/>
  <c r="L124" i="1"/>
  <c r="N124" i="1" s="1"/>
  <c r="L126" i="1"/>
  <c r="N126" i="1" s="1"/>
  <c r="L127" i="1"/>
  <c r="N127" i="1" s="1"/>
  <c r="L128" i="1"/>
  <c r="L129" i="1"/>
  <c r="N129" i="1" s="1"/>
  <c r="L130" i="1"/>
  <c r="N130" i="1" s="1"/>
  <c r="L132" i="1"/>
  <c r="N132" i="1" s="1"/>
  <c r="L134" i="1"/>
  <c r="L135" i="1"/>
  <c r="N135" i="1" s="1"/>
  <c r="L137" i="1"/>
  <c r="N137" i="1" s="1"/>
  <c r="L138" i="1"/>
  <c r="N138" i="1" s="1"/>
  <c r="L139" i="1"/>
  <c r="L140" i="1"/>
  <c r="N140" i="1" s="1"/>
  <c r="L142" i="1"/>
  <c r="N142" i="1" s="1"/>
  <c r="L143" i="1"/>
  <c r="N143" i="1" s="1"/>
  <c r="L144" i="1"/>
  <c r="L145" i="1"/>
  <c r="N145" i="1" s="1"/>
  <c r="L146" i="1"/>
  <c r="N146" i="1" s="1"/>
  <c r="L147" i="1"/>
  <c r="N147" i="1" s="1"/>
  <c r="L148" i="1"/>
  <c r="L150" i="1"/>
  <c r="N150" i="1" s="1"/>
  <c r="L151" i="1"/>
  <c r="N151" i="1" s="1"/>
  <c r="L152" i="1"/>
  <c r="N152" i="1" s="1"/>
  <c r="L153" i="1"/>
  <c r="L154" i="1"/>
  <c r="N154" i="1" s="1"/>
  <c r="L156" i="1"/>
  <c r="N156" i="1" s="1"/>
  <c r="L157" i="1"/>
  <c r="N157" i="1" s="1"/>
  <c r="L158" i="1"/>
  <c r="L160" i="1"/>
  <c r="N160" i="1" s="1"/>
  <c r="L161" i="1"/>
  <c r="N161" i="1" s="1"/>
  <c r="L162" i="1"/>
  <c r="N162" i="1" s="1"/>
  <c r="L164" i="1"/>
  <c r="L167" i="1"/>
  <c r="N167" i="1" s="1"/>
  <c r="L169" i="1"/>
  <c r="N169" i="1" s="1"/>
  <c r="L170" i="1"/>
  <c r="N170" i="1" s="1"/>
  <c r="L171" i="1"/>
  <c r="L172" i="1"/>
  <c r="N172" i="1" s="1"/>
  <c r="L173" i="1"/>
  <c r="N173" i="1" s="1"/>
  <c r="L176" i="1"/>
  <c r="N176" i="1" s="1"/>
  <c r="L177" i="1"/>
  <c r="L178" i="1"/>
  <c r="N178" i="1" s="1"/>
  <c r="L179" i="1"/>
  <c r="N179" i="1" s="1"/>
  <c r="L180" i="1"/>
  <c r="N180" i="1" s="1"/>
  <c r="L183" i="1"/>
  <c r="L185" i="1"/>
  <c r="N185" i="1" s="1"/>
  <c r="L186" i="1"/>
  <c r="N186" i="1" s="1"/>
  <c r="L187" i="1"/>
  <c r="N187" i="1" s="1"/>
  <c r="L188" i="1"/>
  <c r="L189" i="1"/>
  <c r="N189" i="1" s="1"/>
  <c r="L190" i="1"/>
  <c r="N190" i="1" s="1"/>
  <c r="L191" i="1"/>
  <c r="N191" i="1" s="1"/>
  <c r="L192" i="1"/>
  <c r="L193" i="1"/>
  <c r="N193" i="1" s="1"/>
  <c r="L194" i="1"/>
  <c r="N194" i="1" s="1"/>
  <c r="L195" i="1"/>
  <c r="N195" i="1" s="1"/>
  <c r="L196" i="1"/>
  <c r="L197" i="1"/>
  <c r="N197" i="1" s="1"/>
  <c r="L198" i="1"/>
  <c r="N198" i="1" s="1"/>
  <c r="L203" i="1"/>
  <c r="N203" i="1" s="1"/>
  <c r="L204" i="1"/>
  <c r="L206" i="1"/>
  <c r="N206" i="1" s="1"/>
  <c r="L207" i="1"/>
  <c r="N207" i="1" s="1"/>
  <c r="L208" i="1"/>
  <c r="N208" i="1" s="1"/>
  <c r="L209" i="1"/>
  <c r="L210" i="1"/>
  <c r="N210" i="1" s="1"/>
  <c r="L212" i="1"/>
  <c r="N212" i="1" s="1"/>
  <c r="L213" i="1"/>
  <c r="N213" i="1" s="1"/>
  <c r="L214" i="1"/>
  <c r="L215" i="1"/>
  <c r="N215" i="1" s="1"/>
  <c r="L216" i="1"/>
  <c r="N216" i="1" s="1"/>
  <c r="L217" i="1"/>
  <c r="N217" i="1" s="1"/>
  <c r="L218" i="1"/>
  <c r="L219" i="1"/>
  <c r="N219" i="1" s="1"/>
  <c r="L220" i="1"/>
  <c r="N220" i="1" s="1"/>
  <c r="L221" i="1"/>
  <c r="N221" i="1" s="1"/>
  <c r="L224" i="1"/>
  <c r="L225" i="1"/>
  <c r="N225" i="1" s="1"/>
  <c r="L227" i="1"/>
  <c r="N227" i="1" s="1"/>
  <c r="L228" i="1"/>
  <c r="N228" i="1" s="1"/>
  <c r="L230" i="1"/>
  <c r="L231" i="1"/>
  <c r="N231" i="1" s="1"/>
  <c r="L233" i="1"/>
  <c r="N233" i="1" s="1"/>
  <c r="L234" i="1"/>
  <c r="N234" i="1" s="1"/>
  <c r="L235" i="1"/>
  <c r="L237" i="1"/>
  <c r="N237" i="1" s="1"/>
  <c r="L238" i="1"/>
  <c r="N238" i="1" s="1"/>
  <c r="L239" i="1"/>
  <c r="N239" i="1" s="1"/>
  <c r="L240" i="1"/>
  <c r="L241" i="1"/>
  <c r="N241" i="1" s="1"/>
  <c r="L242" i="1"/>
  <c r="N242" i="1" s="1"/>
  <c r="L243" i="1"/>
  <c r="N243" i="1" s="1"/>
  <c r="L244" i="1"/>
  <c r="L245" i="1"/>
  <c r="N245" i="1" s="1"/>
  <c r="L246" i="1"/>
  <c r="N246" i="1" s="1"/>
  <c r="L247" i="1"/>
  <c r="N247" i="1" s="1"/>
  <c r="L248" i="1"/>
  <c r="L249" i="1"/>
  <c r="N249" i="1" s="1"/>
  <c r="L251" i="1"/>
  <c r="N251" i="1" s="1"/>
  <c r="L253" i="1"/>
  <c r="N253" i="1" s="1"/>
  <c r="L254" i="1"/>
  <c r="L255" i="1"/>
  <c r="N255" i="1" s="1"/>
  <c r="L256" i="1"/>
  <c r="N256" i="1" s="1"/>
  <c r="L258" i="1"/>
  <c r="N258" i="1" s="1"/>
  <c r="L259" i="1"/>
  <c r="L261" i="1"/>
  <c r="N261" i="1" s="1"/>
  <c r="L263" i="1"/>
  <c r="N263" i="1" s="1"/>
  <c r="L264" i="1"/>
  <c r="N264" i="1" s="1"/>
  <c r="L266" i="1"/>
  <c r="L267" i="1"/>
  <c r="N267" i="1" s="1"/>
  <c r="L269" i="1"/>
  <c r="N269" i="1" s="1"/>
  <c r="L271" i="1"/>
  <c r="N271" i="1" s="1"/>
  <c r="L272" i="1"/>
  <c r="L273" i="1"/>
  <c r="N273" i="1" s="1"/>
  <c r="L274" i="1"/>
  <c r="N274" i="1" s="1"/>
  <c r="L275" i="1"/>
  <c r="N275" i="1" s="1"/>
  <c r="L276" i="1"/>
  <c r="L277" i="1"/>
  <c r="L279" i="1"/>
  <c r="N279" i="1" s="1"/>
  <c r="L280" i="1"/>
  <c r="N280" i="1" s="1"/>
  <c r="L281" i="1"/>
  <c r="L284" i="1"/>
  <c r="N284" i="1" s="1"/>
  <c r="L285" i="1"/>
  <c r="N285" i="1" s="1"/>
  <c r="L286" i="1"/>
  <c r="N286" i="1" s="1"/>
  <c r="L288" i="1"/>
  <c r="L289" i="1"/>
  <c r="N289" i="1" s="1"/>
  <c r="L293" i="1"/>
  <c r="N293" i="1" s="1"/>
  <c r="L294" i="1"/>
  <c r="N294" i="1" s="1"/>
  <c r="L295" i="1"/>
  <c r="L296" i="1"/>
  <c r="N296" i="1" s="1"/>
  <c r="L297" i="1"/>
  <c r="N297" i="1" s="1"/>
  <c r="L299" i="1"/>
  <c r="N299" i="1" s="1"/>
  <c r="L305" i="1"/>
  <c r="L306" i="1"/>
  <c r="N306" i="1" s="1"/>
  <c r="L307" i="1"/>
  <c r="N307" i="1" s="1"/>
  <c r="L308" i="1"/>
  <c r="N308" i="1" s="1"/>
  <c r="L311" i="1"/>
  <c r="L312" i="1"/>
  <c r="N312" i="1" s="1"/>
  <c r="L313" i="1"/>
  <c r="N313" i="1" s="1"/>
  <c r="L314" i="1"/>
  <c r="N314" i="1" s="1"/>
  <c r="L315" i="1"/>
  <c r="L317" i="1"/>
  <c r="N317" i="1" s="1"/>
  <c r="L318" i="1"/>
  <c r="N318" i="1" s="1"/>
  <c r="L319" i="1"/>
  <c r="N319" i="1" s="1"/>
  <c r="L320" i="1"/>
  <c r="L322" i="1"/>
  <c r="N322" i="1" s="1"/>
  <c r="L323" i="1"/>
  <c r="N323" i="1" s="1"/>
  <c r="L324" i="1"/>
  <c r="N324" i="1" s="1"/>
  <c r="L326" i="1"/>
  <c r="L327" i="1"/>
  <c r="L328" i="1"/>
  <c r="N328" i="1" s="1"/>
  <c r="L329" i="1"/>
  <c r="N329" i="1" s="1"/>
  <c r="L330" i="1"/>
  <c r="L331" i="1"/>
  <c r="N331" i="1" s="1"/>
  <c r="L333" i="1"/>
  <c r="N333" i="1" s="1"/>
  <c r="L334" i="1"/>
  <c r="N334" i="1" s="1"/>
  <c r="L335" i="1"/>
  <c r="L336" i="1"/>
  <c r="N336" i="1" s="1"/>
  <c r="L337" i="1"/>
  <c r="N337" i="1" s="1"/>
  <c r="L338" i="1"/>
  <c r="N338" i="1" s="1"/>
  <c r="L339" i="1"/>
  <c r="L340" i="1"/>
  <c r="N340" i="1" s="1"/>
  <c r="L342" i="1"/>
  <c r="N342" i="1" s="1"/>
  <c r="L344" i="1"/>
  <c r="N344" i="1" s="1"/>
  <c r="L345" i="1"/>
  <c r="L346" i="1"/>
  <c r="N346" i="1" s="1"/>
  <c r="L347" i="1"/>
  <c r="N347" i="1" s="1"/>
  <c r="L349" i="1"/>
  <c r="N349" i="1" s="1"/>
  <c r="L350" i="1"/>
  <c r="L351" i="1"/>
  <c r="N351" i="1" s="1"/>
  <c r="L352" i="1"/>
  <c r="N352" i="1" s="1"/>
  <c r="L353" i="1"/>
  <c r="N353" i="1" s="1"/>
  <c r="L354" i="1"/>
  <c r="L356" i="1"/>
  <c r="N356" i="1" s="1"/>
  <c r="L358" i="1"/>
  <c r="N358" i="1" s="1"/>
  <c r="L360" i="1"/>
  <c r="N360" i="1" s="1"/>
  <c r="L361" i="1"/>
  <c r="L362" i="1"/>
  <c r="L364" i="1"/>
  <c r="N364" i="1" s="1"/>
  <c r="L365" i="1"/>
  <c r="N365" i="1" s="1"/>
  <c r="L366" i="1"/>
  <c r="L367" i="1"/>
  <c r="N367" i="1" s="1"/>
  <c r="L368" i="1"/>
  <c r="N368" i="1" s="1"/>
  <c r="L369" i="1"/>
  <c r="N369" i="1" s="1"/>
  <c r="L370" i="1"/>
  <c r="L372" i="1"/>
  <c r="N372" i="1" s="1"/>
  <c r="L373" i="1"/>
  <c r="N373" i="1" s="1"/>
  <c r="L374" i="1"/>
  <c r="N374" i="1" s="1"/>
  <c r="L375" i="1"/>
  <c r="L376" i="1"/>
  <c r="N376" i="1" s="1"/>
  <c r="L377" i="1"/>
  <c r="N377" i="1" s="1"/>
  <c r="L379" i="1"/>
  <c r="N379" i="1" s="1"/>
  <c r="L380" i="1"/>
  <c r="L381" i="1"/>
  <c r="N381" i="1" s="1"/>
  <c r="L383" i="1"/>
  <c r="N383" i="1" s="1"/>
  <c r="L384" i="1"/>
  <c r="N384" i="1" s="1"/>
  <c r="L385" i="1"/>
  <c r="L387" i="1"/>
  <c r="L391" i="1"/>
  <c r="N391" i="1" s="1"/>
  <c r="L393" i="1"/>
  <c r="N393" i="1" s="1"/>
  <c r="L394" i="1"/>
  <c r="L395" i="1"/>
  <c r="N395" i="1" s="1"/>
  <c r="L396" i="1"/>
  <c r="N396" i="1" s="1"/>
  <c r="L397" i="1"/>
  <c r="N397" i="1" s="1"/>
  <c r="L398" i="1"/>
  <c r="L399" i="1"/>
  <c r="N399" i="1" s="1"/>
  <c r="L401" i="1"/>
  <c r="N401" i="1" s="1"/>
  <c r="L402" i="1"/>
  <c r="N402" i="1" s="1"/>
  <c r="L403" i="1"/>
  <c r="L404" i="1"/>
  <c r="N404" i="1" s="1"/>
  <c r="L405" i="1"/>
  <c r="N405" i="1" s="1"/>
  <c r="L406" i="1"/>
  <c r="N406" i="1" s="1"/>
  <c r="L407" i="1"/>
  <c r="L408" i="1"/>
  <c r="N408" i="1" s="1"/>
  <c r="L409" i="1"/>
  <c r="N409" i="1" s="1"/>
  <c r="L410" i="1"/>
  <c r="N410" i="1" s="1"/>
  <c r="L411" i="1"/>
  <c r="L413" i="1"/>
  <c r="N413" i="1" s="1"/>
  <c r="L416" i="1"/>
  <c r="N416" i="1" s="1"/>
  <c r="L417" i="1"/>
  <c r="N417" i="1" s="1"/>
  <c r="L418" i="1"/>
  <c r="L420" i="1"/>
  <c r="N420" i="1" s="1"/>
  <c r="L421" i="1"/>
  <c r="N421" i="1" s="1"/>
  <c r="L422" i="1"/>
  <c r="N422" i="1" s="1"/>
  <c r="L423" i="1"/>
  <c r="L426" i="1"/>
  <c r="N426" i="1" s="1"/>
  <c r="L427" i="1"/>
  <c r="N427" i="1" s="1"/>
  <c r="L428" i="1"/>
  <c r="N428" i="1" s="1"/>
  <c r="L429" i="1"/>
  <c r="L430" i="1"/>
  <c r="N430" i="1" s="1"/>
  <c r="L433" i="1"/>
  <c r="N433" i="1" s="1"/>
  <c r="L434" i="1"/>
  <c r="N434" i="1" s="1"/>
  <c r="L435" i="1"/>
  <c r="L436" i="1"/>
  <c r="N436" i="1" s="1"/>
  <c r="L437" i="1"/>
  <c r="N437" i="1" s="1"/>
  <c r="L438" i="1"/>
  <c r="N438" i="1" s="1"/>
  <c r="L439" i="1"/>
  <c r="L440" i="1"/>
  <c r="N440" i="1" s="1"/>
  <c r="L441" i="1"/>
  <c r="N441" i="1" s="1"/>
  <c r="L445" i="1"/>
  <c r="N445" i="1" s="1"/>
  <c r="L447" i="1"/>
  <c r="L448" i="1"/>
  <c r="N448" i="1" s="1"/>
  <c r="L449" i="1"/>
  <c r="N449" i="1" s="1"/>
  <c r="L450" i="1"/>
  <c r="N450" i="1" s="1"/>
  <c r="L451" i="1"/>
  <c r="L452" i="1"/>
  <c r="N452" i="1" s="1"/>
  <c r="L453" i="1"/>
  <c r="N453" i="1" s="1"/>
  <c r="L454" i="1"/>
  <c r="N454" i="1" s="1"/>
  <c r="L455" i="1"/>
  <c r="L456" i="1"/>
  <c r="N456" i="1" s="1"/>
  <c r="L457" i="1"/>
  <c r="N457" i="1" s="1"/>
  <c r="L458" i="1"/>
  <c r="N458" i="1" s="1"/>
  <c r="L459" i="1"/>
  <c r="L460" i="1"/>
  <c r="N460" i="1" s="1"/>
  <c r="L462" i="1"/>
  <c r="N462" i="1" s="1"/>
  <c r="L463" i="1"/>
  <c r="N463" i="1" s="1"/>
  <c r="L464" i="1"/>
  <c r="L465" i="1"/>
  <c r="N465" i="1" s="1"/>
  <c r="L466" i="1"/>
  <c r="N466" i="1" s="1"/>
  <c r="L467" i="1"/>
  <c r="N467" i="1" s="1"/>
  <c r="L468" i="1"/>
  <c r="L469" i="1"/>
  <c r="N469" i="1" s="1"/>
  <c r="L470" i="1"/>
  <c r="N470" i="1" s="1"/>
  <c r="L471" i="1"/>
  <c r="N471" i="1" s="1"/>
  <c r="L472" i="1"/>
  <c r="L473" i="1"/>
  <c r="N473" i="1" s="1"/>
  <c r="L474" i="1"/>
  <c r="N474" i="1" s="1"/>
  <c r="L475" i="1"/>
  <c r="N475" i="1" s="1"/>
  <c r="L476" i="1"/>
  <c r="L477" i="1"/>
  <c r="N477" i="1" s="1"/>
  <c r="L478" i="1"/>
  <c r="N478" i="1" s="1"/>
  <c r="L479" i="1"/>
  <c r="N479" i="1" s="1"/>
  <c r="L480" i="1"/>
  <c r="L481" i="1"/>
  <c r="N481" i="1" s="1"/>
  <c r="L483" i="1"/>
  <c r="N483" i="1" s="1"/>
  <c r="L484" i="1"/>
  <c r="N484" i="1" s="1"/>
  <c r="L488" i="1"/>
  <c r="L494" i="1"/>
  <c r="N494" i="1" s="1"/>
  <c r="L495" i="1"/>
  <c r="N495" i="1" s="1"/>
  <c r="L496" i="1"/>
  <c r="N496" i="1" s="1"/>
  <c r="L497" i="1"/>
  <c r="L498" i="1"/>
  <c r="N498" i="1" s="1"/>
  <c r="L499" i="1"/>
  <c r="N499" i="1" s="1"/>
  <c r="L500" i="1"/>
  <c r="N500" i="1" s="1"/>
  <c r="L501" i="1"/>
  <c r="L502" i="1"/>
  <c r="N502" i="1" s="1"/>
  <c r="L503" i="1"/>
  <c r="N503" i="1" s="1"/>
  <c r="L504" i="1"/>
  <c r="N504" i="1" s="1"/>
  <c r="L505" i="1"/>
  <c r="L506" i="1"/>
  <c r="N506" i="1" s="1"/>
  <c r="L507" i="1"/>
  <c r="N507" i="1" s="1"/>
  <c r="L508" i="1"/>
  <c r="N508" i="1" s="1"/>
  <c r="L509" i="1"/>
  <c r="L510" i="1"/>
  <c r="N510" i="1" s="1"/>
  <c r="L511" i="1"/>
  <c r="N511" i="1" s="1"/>
  <c r="L512" i="1"/>
  <c r="N512" i="1" s="1"/>
  <c r="L513" i="1"/>
  <c r="L514" i="1"/>
  <c r="N514" i="1" s="1"/>
  <c r="L516" i="1"/>
  <c r="N516" i="1" s="1"/>
  <c r="L517" i="1"/>
  <c r="N517" i="1" s="1"/>
  <c r="L518" i="1"/>
  <c r="L519" i="1"/>
  <c r="N519" i="1" s="1"/>
  <c r="L520" i="1"/>
  <c r="N520" i="1" s="1"/>
  <c r="L521" i="1"/>
  <c r="N521" i="1" s="1"/>
  <c r="L522" i="1"/>
  <c r="L523" i="1"/>
  <c r="N523" i="1" s="1"/>
  <c r="L524" i="1"/>
  <c r="N524" i="1" s="1"/>
  <c r="L525" i="1"/>
  <c r="N525" i="1" s="1"/>
  <c r="L526" i="1"/>
  <c r="L527" i="1"/>
  <c r="N527" i="1" s="1"/>
  <c r="L528" i="1"/>
  <c r="N528" i="1" s="1"/>
  <c r="L529" i="1"/>
  <c r="N529" i="1" s="1"/>
  <c r="L530" i="1"/>
  <c r="L531" i="1"/>
  <c r="N531" i="1" s="1"/>
  <c r="L532" i="1"/>
  <c r="N532" i="1" s="1"/>
  <c r="L533" i="1"/>
  <c r="N533" i="1" s="1"/>
  <c r="L535" i="1"/>
  <c r="L536" i="1"/>
  <c r="N536" i="1" s="1"/>
  <c r="L537" i="1"/>
  <c r="N537" i="1" s="1"/>
  <c r="L538" i="1"/>
  <c r="N538" i="1" s="1"/>
  <c r="L539" i="1"/>
  <c r="L540" i="1"/>
  <c r="N540" i="1" s="1"/>
  <c r="L542" i="1"/>
  <c r="N542" i="1" s="1"/>
  <c r="L543" i="1"/>
  <c r="N543" i="1" s="1"/>
  <c r="L544" i="1"/>
  <c r="L545" i="1"/>
  <c r="N545" i="1" s="1"/>
  <c r="L546" i="1"/>
  <c r="N546" i="1" s="1"/>
  <c r="L547" i="1"/>
  <c r="N547" i="1" s="1"/>
  <c r="L548" i="1"/>
  <c r="L550" i="1"/>
  <c r="N550" i="1" s="1"/>
  <c r="L553" i="1"/>
  <c r="N553" i="1" s="1"/>
  <c r="L551" i="1"/>
  <c r="N551" i="1" s="1"/>
  <c r="L552" i="1"/>
  <c r="L555" i="1"/>
  <c r="N555" i="1" s="1"/>
  <c r="L557" i="1"/>
  <c r="N557" i="1" s="1"/>
  <c r="L558" i="1"/>
  <c r="N558" i="1" s="1"/>
  <c r="L559" i="1"/>
  <c r="L562" i="1"/>
  <c r="N562" i="1" s="1"/>
  <c r="L563" i="1"/>
  <c r="N563" i="1" s="1"/>
  <c r="L564" i="1"/>
  <c r="N564" i="1" s="1"/>
  <c r="L566" i="1"/>
  <c r="L567" i="1"/>
  <c r="N567" i="1" s="1"/>
  <c r="L568" i="1"/>
  <c r="N568" i="1" s="1"/>
  <c r="L571" i="1"/>
  <c r="N571" i="1" s="1"/>
  <c r="L573" i="1"/>
  <c r="L576" i="1"/>
  <c r="N576" i="1" s="1"/>
  <c r="L577" i="1"/>
  <c r="N577" i="1" s="1"/>
  <c r="L582" i="1"/>
  <c r="N582" i="1" s="1"/>
  <c r="L583" i="1"/>
  <c r="L584" i="1"/>
  <c r="N584" i="1" s="1"/>
  <c r="L585" i="1"/>
  <c r="N585" i="1" s="1"/>
  <c r="L587" i="1"/>
  <c r="N587" i="1" s="1"/>
  <c r="L589" i="1"/>
  <c r="L590" i="1"/>
  <c r="N590" i="1" s="1"/>
  <c r="L592" i="1"/>
  <c r="N592" i="1" s="1"/>
  <c r="L593" i="1"/>
  <c r="N593" i="1" s="1"/>
  <c r="L595" i="1"/>
  <c r="L596" i="1"/>
  <c r="N596" i="1" s="1"/>
  <c r="L597" i="1"/>
  <c r="N597" i="1" s="1"/>
  <c r="L598" i="1"/>
  <c r="N598" i="1" s="1"/>
  <c r="L599" i="1"/>
  <c r="L600" i="1"/>
  <c r="N600" i="1" s="1"/>
  <c r="L601" i="1"/>
  <c r="N601" i="1" s="1"/>
  <c r="L602" i="1"/>
  <c r="N602" i="1" s="1"/>
  <c r="L603" i="1"/>
  <c r="L604" i="1"/>
  <c r="N604" i="1" s="1"/>
  <c r="L606" i="1"/>
  <c r="N606" i="1" s="1"/>
  <c r="L608" i="1"/>
  <c r="N608" i="1" s="1"/>
  <c r="L609" i="1"/>
  <c r="L610" i="1"/>
  <c r="N610" i="1" s="1"/>
  <c r="L611" i="1"/>
  <c r="N611" i="1" s="1"/>
  <c r="L612" i="1"/>
  <c r="N612" i="1" s="1"/>
  <c r="L613" i="1"/>
  <c r="L614" i="1"/>
  <c r="N614" i="1" s="1"/>
  <c r="L615" i="1"/>
  <c r="N615" i="1" s="1"/>
  <c r="L616" i="1"/>
  <c r="N616" i="1" s="1"/>
  <c r="L617" i="1"/>
  <c r="L619" i="1"/>
  <c r="N619" i="1" s="1"/>
  <c r="L620" i="1"/>
  <c r="N620" i="1" s="1"/>
  <c r="L621" i="1"/>
  <c r="N621" i="1" s="1"/>
  <c r="L622" i="1"/>
  <c r="L623" i="1"/>
  <c r="N623" i="1" s="1"/>
  <c r="L625" i="1"/>
  <c r="N625" i="1" s="1"/>
  <c r="L626" i="1"/>
  <c r="N626" i="1" s="1"/>
  <c r="L627" i="1"/>
  <c r="L628" i="1"/>
  <c r="N628" i="1" s="1"/>
  <c r="L629" i="1"/>
  <c r="N629" i="1" s="1"/>
  <c r="L631" i="1"/>
  <c r="N631" i="1" s="1"/>
  <c r="L632" i="1"/>
  <c r="L634" i="1"/>
  <c r="N634" i="1" s="1"/>
  <c r="L635" i="1"/>
  <c r="N635" i="1" s="1"/>
  <c r="L636" i="1"/>
  <c r="N636" i="1" s="1"/>
  <c r="L637" i="1"/>
  <c r="L640" i="1"/>
  <c r="N640" i="1" s="1"/>
  <c r="L641" i="1"/>
  <c r="N641" i="1" s="1"/>
  <c r="L642" i="1"/>
  <c r="N642" i="1" s="1"/>
  <c r="L643" i="1"/>
  <c r="L644" i="1"/>
  <c r="N644" i="1" s="1"/>
  <c r="L645" i="1"/>
  <c r="N645" i="1" s="1"/>
  <c r="L647" i="1"/>
  <c r="N647" i="1" s="1"/>
  <c r="L648" i="1"/>
  <c r="L649" i="1"/>
  <c r="N649" i="1" s="1"/>
  <c r="L652" i="1"/>
  <c r="N652" i="1" s="1"/>
  <c r="L653" i="1"/>
  <c r="N653" i="1" s="1"/>
  <c r="L654" i="1"/>
  <c r="L655" i="1"/>
  <c r="N655" i="1" s="1"/>
  <c r="L656" i="1"/>
  <c r="N656" i="1" s="1"/>
  <c r="L657" i="1"/>
  <c r="N657" i="1" s="1"/>
  <c r="L658" i="1"/>
  <c r="L659" i="1"/>
  <c r="N659" i="1" s="1"/>
  <c r="L660" i="1"/>
  <c r="N660" i="1" s="1"/>
  <c r="L661" i="1"/>
  <c r="N661" i="1" s="1"/>
  <c r="L662" i="1"/>
  <c r="L663" i="1"/>
  <c r="N663" i="1" s="1"/>
  <c r="L664" i="1"/>
  <c r="N664" i="1" s="1"/>
  <c r="L665" i="1"/>
  <c r="N665" i="1" s="1"/>
  <c r="L666" i="1"/>
  <c r="L667" i="1"/>
  <c r="N667" i="1" s="1"/>
  <c r="L668" i="1"/>
  <c r="N668" i="1" s="1"/>
  <c r="L671" i="1"/>
  <c r="N671" i="1" s="1"/>
  <c r="L672" i="1"/>
  <c r="L673" i="1"/>
  <c r="N673" i="1" s="1"/>
  <c r="L674" i="1"/>
  <c r="N674" i="1" s="1"/>
  <c r="L675" i="1"/>
  <c r="N675" i="1" s="1"/>
  <c r="L676" i="1"/>
  <c r="L677" i="1"/>
  <c r="N677" i="1" s="1"/>
  <c r="L678" i="1"/>
  <c r="N678" i="1" s="1"/>
  <c r="L679" i="1"/>
  <c r="N679" i="1" s="1"/>
  <c r="L680" i="1"/>
  <c r="L681" i="1"/>
  <c r="N681" i="1" s="1"/>
  <c r="L682" i="1"/>
  <c r="N682" i="1" s="1"/>
  <c r="L683" i="1"/>
  <c r="N683" i="1" s="1"/>
  <c r="L685" i="1"/>
  <c r="L686" i="1"/>
  <c r="N686" i="1" s="1"/>
  <c r="L687" i="1"/>
  <c r="N687" i="1" s="1"/>
  <c r="L688" i="1"/>
  <c r="N688" i="1" s="1"/>
  <c r="L689" i="1"/>
  <c r="L690" i="1"/>
  <c r="N690" i="1" s="1"/>
  <c r="L691" i="1"/>
  <c r="N691" i="1" s="1"/>
  <c r="L692" i="1"/>
  <c r="N692" i="1" s="1"/>
  <c r="L693" i="1"/>
  <c r="L694" i="1"/>
  <c r="N694" i="1" s="1"/>
  <c r="L695" i="1"/>
  <c r="N695" i="1" s="1"/>
  <c r="L696" i="1"/>
  <c r="N696" i="1" s="1"/>
  <c r="L697" i="1"/>
  <c r="L698" i="1"/>
  <c r="N698" i="1" s="1"/>
  <c r="L699" i="1"/>
  <c r="N699" i="1" s="1"/>
  <c r="L700" i="1"/>
  <c r="N700" i="1" s="1"/>
  <c r="L701" i="1"/>
  <c r="L702" i="1"/>
  <c r="N702" i="1" s="1"/>
  <c r="L703" i="1"/>
  <c r="N703" i="1" s="1"/>
  <c r="L704" i="1"/>
  <c r="N704" i="1" s="1"/>
  <c r="L705" i="1"/>
  <c r="L706" i="1"/>
  <c r="N706" i="1" s="1"/>
  <c r="L707" i="1"/>
  <c r="N707" i="1" s="1"/>
  <c r="L708" i="1"/>
  <c r="N708" i="1" s="1"/>
  <c r="L709" i="1"/>
  <c r="L710" i="1"/>
  <c r="N710" i="1" s="1"/>
  <c r="L713" i="1"/>
  <c r="N713" i="1" s="1"/>
  <c r="L714" i="1"/>
  <c r="N714" i="1" s="1"/>
  <c r="L715" i="1"/>
  <c r="L716" i="1"/>
  <c r="N716" i="1" s="1"/>
  <c r="L717" i="1"/>
  <c r="N717" i="1" s="1"/>
  <c r="L718" i="1"/>
  <c r="N718" i="1" s="1"/>
  <c r="L719" i="1"/>
  <c r="L720" i="1"/>
  <c r="N720" i="1" s="1"/>
  <c r="L721" i="1"/>
  <c r="N721" i="1" s="1"/>
  <c r="L722" i="1"/>
  <c r="N722" i="1" s="1"/>
  <c r="L723" i="1"/>
  <c r="L726" i="1"/>
  <c r="N726" i="1" s="1"/>
  <c r="L727" i="1"/>
  <c r="N727" i="1" s="1"/>
  <c r="L728" i="1"/>
  <c r="N728" i="1" s="1"/>
  <c r="L729" i="1"/>
  <c r="L730" i="1"/>
  <c r="N730" i="1" s="1"/>
  <c r="L732" i="1"/>
  <c r="N732" i="1" s="1"/>
  <c r="L733" i="1"/>
  <c r="N733" i="1" s="1"/>
  <c r="L734" i="1"/>
  <c r="L735" i="1"/>
  <c r="N735" i="1" s="1"/>
  <c r="L736" i="1"/>
  <c r="N736" i="1" s="1"/>
  <c r="L737" i="1"/>
  <c r="N737" i="1" s="1"/>
  <c r="L738" i="1"/>
  <c r="L739" i="1"/>
  <c r="N739" i="1" s="1"/>
  <c r="L741" i="1"/>
  <c r="N741" i="1" s="1"/>
  <c r="L742" i="1"/>
  <c r="N742" i="1" s="1"/>
  <c r="L745" i="1"/>
  <c r="L747" i="1"/>
  <c r="N747" i="1" s="1"/>
  <c r="L748" i="1"/>
  <c r="N748" i="1" s="1"/>
  <c r="L749" i="1"/>
  <c r="N749" i="1" s="1"/>
  <c r="L750" i="1"/>
  <c r="L751" i="1"/>
  <c r="N751" i="1" s="1"/>
  <c r="L752" i="1"/>
  <c r="N752" i="1" s="1"/>
  <c r="L753" i="1"/>
  <c r="N753" i="1" s="1"/>
  <c r="L754" i="1"/>
  <c r="L755" i="1"/>
  <c r="N755" i="1" s="1"/>
  <c r="L756" i="1"/>
  <c r="N756" i="1" s="1"/>
  <c r="L757" i="1"/>
  <c r="N757" i="1" s="1"/>
  <c r="L759" i="1"/>
  <c r="L760" i="1"/>
  <c r="N760" i="1" s="1"/>
  <c r="L761" i="1"/>
  <c r="N761" i="1" s="1"/>
  <c r="L763" i="1"/>
  <c r="N763" i="1" s="1"/>
  <c r="L764" i="1"/>
  <c r="L765" i="1"/>
  <c r="N765" i="1" s="1"/>
  <c r="L767" i="1"/>
  <c r="N767" i="1" s="1"/>
  <c r="L768" i="1"/>
  <c r="N768" i="1" s="1"/>
  <c r="L769" i="1"/>
  <c r="L774" i="1"/>
  <c r="N774" i="1" s="1"/>
  <c r="L776" i="1"/>
  <c r="N776" i="1" s="1"/>
  <c r="L777" i="1"/>
  <c r="N777" i="1" s="1"/>
  <c r="L778" i="1"/>
  <c r="L779" i="1"/>
  <c r="N779" i="1" s="1"/>
  <c r="L780" i="1"/>
  <c r="N780" i="1" s="1"/>
  <c r="L781" i="1"/>
  <c r="N781" i="1" s="1"/>
  <c r="L784" i="1"/>
  <c r="L785" i="1"/>
  <c r="N785" i="1" s="1"/>
  <c r="L786" i="1"/>
  <c r="N786" i="1" s="1"/>
  <c r="L788" i="1"/>
  <c r="N788" i="1" s="1"/>
  <c r="L792" i="1"/>
  <c r="L793" i="1"/>
  <c r="N793" i="1" s="1"/>
  <c r="L794" i="1"/>
  <c r="N794" i="1" s="1"/>
  <c r="L795" i="1"/>
  <c r="N795" i="1" s="1"/>
  <c r="L797" i="1"/>
  <c r="L798" i="1"/>
  <c r="N798" i="1" s="1"/>
  <c r="L799" i="1"/>
  <c r="N799" i="1" s="1"/>
  <c r="L800" i="1"/>
  <c r="N800" i="1" s="1"/>
  <c r="L802" i="1"/>
  <c r="L803" i="1"/>
  <c r="N803" i="1" s="1"/>
  <c r="L805" i="1"/>
  <c r="N805" i="1" s="1"/>
  <c r="L807" i="1"/>
  <c r="N807" i="1" s="1"/>
  <c r="L808" i="1"/>
  <c r="L809" i="1"/>
  <c r="N809" i="1" s="1"/>
  <c r="L810" i="1"/>
  <c r="N810" i="1" s="1"/>
  <c r="L811" i="1"/>
  <c r="N811" i="1" s="1"/>
  <c r="L813" i="1"/>
  <c r="L814" i="1"/>
  <c r="N814" i="1" s="1"/>
  <c r="L815" i="1"/>
  <c r="N815" i="1" s="1"/>
  <c r="L816" i="1"/>
  <c r="N816" i="1" s="1"/>
  <c r="L818" i="1"/>
  <c r="L819" i="1"/>
  <c r="N819" i="1" s="1"/>
  <c r="L820" i="1"/>
  <c r="N820" i="1" s="1"/>
  <c r="L821" i="1"/>
  <c r="N821" i="1" s="1"/>
  <c r="L822" i="1"/>
  <c r="L823" i="1"/>
  <c r="N823" i="1" s="1"/>
  <c r="L824" i="1"/>
  <c r="N824" i="1" s="1"/>
  <c r="L827" i="1"/>
  <c r="N827" i="1" s="1"/>
  <c r="L828" i="1"/>
  <c r="L830" i="1"/>
  <c r="N830" i="1" s="1"/>
  <c r="L831" i="1"/>
  <c r="N831" i="1" s="1"/>
  <c r="L834" i="1"/>
  <c r="N834" i="1" s="1"/>
  <c r="L835" i="1"/>
  <c r="L836" i="1"/>
  <c r="N836" i="1" s="1"/>
  <c r="L837" i="1"/>
  <c r="N837" i="1" s="1"/>
  <c r="L838" i="1"/>
  <c r="N838" i="1" s="1"/>
  <c r="L841" i="1"/>
  <c r="L842" i="1"/>
  <c r="N842" i="1" s="1"/>
  <c r="L843" i="1"/>
  <c r="N843" i="1" s="1"/>
  <c r="L844" i="1"/>
  <c r="N844" i="1" s="1"/>
  <c r="L845" i="1"/>
  <c r="L846" i="1"/>
  <c r="N846" i="1" s="1"/>
  <c r="L847" i="1"/>
  <c r="N847" i="1" s="1"/>
  <c r="L848" i="1"/>
  <c r="N848" i="1" s="1"/>
  <c r="L849" i="1"/>
  <c r="L850" i="1"/>
  <c r="N850" i="1" s="1"/>
  <c r="L852" i="1"/>
  <c r="N852" i="1" s="1"/>
  <c r="L853" i="1"/>
  <c r="N853" i="1" s="1"/>
  <c r="L854" i="1"/>
  <c r="L855" i="1"/>
  <c r="N855" i="1" s="1"/>
  <c r="L856" i="1"/>
  <c r="N856" i="1" s="1"/>
  <c r="L858" i="1"/>
  <c r="N858" i="1" s="1"/>
  <c r="L859" i="1"/>
  <c r="L860" i="1"/>
  <c r="N860" i="1" s="1"/>
  <c r="L861" i="1"/>
  <c r="N861" i="1" s="1"/>
  <c r="L862" i="1"/>
  <c r="N862" i="1" s="1"/>
  <c r="L863" i="1"/>
  <c r="L864" i="1"/>
  <c r="N864" i="1" s="1"/>
  <c r="L865" i="1"/>
  <c r="N865" i="1" s="1"/>
  <c r="L868" i="1"/>
  <c r="N868" i="1" s="1"/>
  <c r="L869" i="1"/>
  <c r="L870" i="1"/>
  <c r="N870" i="1" s="1"/>
  <c r="L871" i="1"/>
  <c r="N871" i="1" s="1"/>
  <c r="L872" i="1"/>
  <c r="N872" i="1" s="1"/>
  <c r="L875" i="1"/>
  <c r="L876" i="1"/>
  <c r="N876" i="1" s="1"/>
  <c r="L877" i="1"/>
  <c r="N877" i="1" s="1"/>
  <c r="L878" i="1"/>
  <c r="N878" i="1" s="1"/>
  <c r="L879" i="1"/>
  <c r="L880" i="1"/>
  <c r="N880" i="1" s="1"/>
  <c r="L882" i="1"/>
  <c r="N882" i="1" s="1"/>
  <c r="L883" i="1"/>
  <c r="N883" i="1" s="1"/>
  <c r="L884" i="1"/>
  <c r="L885" i="1"/>
  <c r="N885" i="1" s="1"/>
  <c r="L886" i="1"/>
  <c r="N886" i="1" s="1"/>
  <c r="L888" i="1"/>
  <c r="N888" i="1" s="1"/>
  <c r="L890" i="1"/>
  <c r="L891" i="1"/>
  <c r="N891" i="1" s="1"/>
  <c r="L892" i="1"/>
  <c r="N892" i="1" s="1"/>
  <c r="L893" i="1"/>
  <c r="N893" i="1" s="1"/>
  <c r="L894" i="1"/>
  <c r="L899" i="1"/>
  <c r="N899" i="1" s="1"/>
  <c r="L900" i="1"/>
  <c r="N900" i="1" s="1"/>
  <c r="L902" i="1"/>
  <c r="N902" i="1" s="1"/>
  <c r="L903" i="1"/>
  <c r="L904" i="1"/>
  <c r="N904" i="1" s="1"/>
  <c r="L905" i="1"/>
  <c r="N905" i="1" s="1"/>
  <c r="L908" i="1"/>
  <c r="N908" i="1" s="1"/>
  <c r="L909" i="1"/>
  <c r="L910" i="1"/>
  <c r="N910" i="1" s="1"/>
  <c r="L911" i="1"/>
  <c r="N911" i="1" s="1"/>
  <c r="L912" i="1"/>
  <c r="N912" i="1" s="1"/>
  <c r="L913" i="1"/>
  <c r="L914" i="1"/>
  <c r="N914" i="1" s="1"/>
  <c r="L915" i="1"/>
  <c r="N915" i="1" s="1"/>
  <c r="L920" i="1"/>
  <c r="N920" i="1" s="1"/>
  <c r="L926" i="1"/>
  <c r="L927" i="1"/>
  <c r="N927" i="1" s="1"/>
  <c r="L928" i="1"/>
  <c r="N928" i="1" s="1"/>
  <c r="L929" i="1"/>
  <c r="N929" i="1" s="1"/>
  <c r="L930" i="1"/>
  <c r="L935" i="1"/>
  <c r="N935" i="1" s="1"/>
  <c r="L937" i="1"/>
  <c r="N937" i="1" s="1"/>
  <c r="L938" i="1"/>
  <c r="N938" i="1" s="1"/>
  <c r="L939" i="1"/>
  <c r="L940" i="1"/>
  <c r="N940" i="1" s="1"/>
  <c r="L941" i="1"/>
  <c r="N941" i="1" s="1"/>
  <c r="L942" i="1"/>
  <c r="N942" i="1" s="1"/>
  <c r="L944" i="1"/>
  <c r="L946" i="1"/>
  <c r="N946" i="1" s="1"/>
  <c r="L948" i="1"/>
  <c r="N948" i="1" s="1"/>
  <c r="L949" i="1"/>
  <c r="N949" i="1" s="1"/>
  <c r="L950" i="1"/>
  <c r="L951" i="1"/>
  <c r="N951" i="1" s="1"/>
  <c r="L952" i="1"/>
  <c r="N952" i="1" s="1"/>
  <c r="L953" i="1"/>
  <c r="N953" i="1" s="1"/>
  <c r="L954" i="1"/>
  <c r="L955" i="1"/>
  <c r="N955" i="1" s="1"/>
  <c r="L957" i="1"/>
  <c r="N957" i="1" s="1"/>
  <c r="L958" i="1"/>
  <c r="N958" i="1" s="1"/>
  <c r="L959" i="1"/>
  <c r="L961" i="1"/>
  <c r="N961" i="1" s="1"/>
  <c r="L962" i="1"/>
  <c r="N962" i="1" s="1"/>
  <c r="L963" i="1"/>
  <c r="N963" i="1" s="1"/>
  <c r="L964" i="1"/>
  <c r="L966" i="1"/>
  <c r="N966" i="1" s="1"/>
  <c r="L967" i="1"/>
  <c r="N967" i="1" s="1"/>
  <c r="L968" i="1"/>
  <c r="N968" i="1" s="1"/>
  <c r="L970" i="1"/>
  <c r="L971" i="1"/>
  <c r="N971" i="1" s="1"/>
  <c r="L972" i="1"/>
  <c r="N972" i="1" s="1"/>
  <c r="L974" i="1"/>
  <c r="N974" i="1" s="1"/>
  <c r="L975" i="1"/>
  <c r="L976" i="1"/>
  <c r="N976" i="1" s="1"/>
  <c r="L977" i="1"/>
  <c r="N977" i="1" s="1"/>
  <c r="L979" i="1"/>
  <c r="N979" i="1" s="1"/>
  <c r="L981" i="1"/>
  <c r="L982" i="1"/>
  <c r="N982" i="1" s="1"/>
  <c r="L983" i="1"/>
  <c r="N983" i="1" s="1"/>
  <c r="L984" i="1"/>
  <c r="N984" i="1" s="1"/>
  <c r="L986" i="1"/>
  <c r="L987" i="1"/>
  <c r="N987" i="1" s="1"/>
  <c r="L989" i="1"/>
  <c r="N989" i="1" s="1"/>
  <c r="L990" i="1"/>
  <c r="N990" i="1" s="1"/>
  <c r="L991" i="1"/>
  <c r="L992" i="1"/>
  <c r="N992" i="1" s="1"/>
  <c r="L993" i="1"/>
  <c r="N993" i="1" s="1"/>
  <c r="L995" i="1"/>
  <c r="N995" i="1" s="1"/>
  <c r="L996" i="1"/>
  <c r="L997" i="1"/>
  <c r="N997" i="1" s="1"/>
  <c r="L998" i="1"/>
  <c r="N998" i="1" s="1"/>
  <c r="L999" i="1"/>
  <c r="N999" i="1" s="1"/>
  <c r="L1000" i="1"/>
  <c r="L1001" i="1"/>
  <c r="N1001" i="1" s="1"/>
  <c r="L1002" i="1"/>
  <c r="N1002" i="1" s="1"/>
  <c r="L1003" i="1"/>
  <c r="N1003" i="1" s="1"/>
  <c r="L1004" i="1"/>
  <c r="L1006" i="1"/>
  <c r="N1006" i="1" s="1"/>
  <c r="L1007" i="1"/>
  <c r="N1007" i="1" s="1"/>
  <c r="L1008" i="1"/>
  <c r="N1008" i="1" s="1"/>
  <c r="L1009" i="1"/>
  <c r="L1010" i="1"/>
  <c r="N1010" i="1" s="1"/>
  <c r="L1011" i="1"/>
  <c r="N1011" i="1" s="1"/>
  <c r="L1012" i="1"/>
  <c r="N1012" i="1" s="1"/>
  <c r="L1013" i="1"/>
  <c r="L1014" i="1"/>
  <c r="N1014" i="1" s="1"/>
  <c r="L1015" i="1"/>
  <c r="N1015" i="1" s="1"/>
  <c r="L1016" i="1"/>
  <c r="N1016" i="1" s="1"/>
  <c r="L1017" i="1"/>
  <c r="L1018" i="1"/>
  <c r="N1018" i="1" s="1"/>
  <c r="L1019" i="1"/>
  <c r="N1019" i="1" s="1"/>
  <c r="L1020" i="1"/>
  <c r="N1020" i="1" s="1"/>
  <c r="L1021" i="1"/>
  <c r="L1022" i="1"/>
  <c r="N1022" i="1" s="1"/>
  <c r="L1023" i="1"/>
  <c r="N1023" i="1" s="1"/>
  <c r="L1025" i="1"/>
  <c r="N1025" i="1" s="1"/>
  <c r="L1026" i="1"/>
  <c r="L1027" i="1"/>
  <c r="N1027" i="1" s="1"/>
  <c r="L1028" i="1"/>
  <c r="N1028" i="1" s="1"/>
  <c r="L1029" i="1"/>
  <c r="N1029" i="1" s="1"/>
  <c r="L1030" i="1"/>
  <c r="L1031" i="1"/>
  <c r="N1031" i="1" s="1"/>
  <c r="L1032" i="1"/>
  <c r="N1032" i="1" s="1"/>
  <c r="L1033" i="1"/>
  <c r="N1033" i="1" s="1"/>
  <c r="L1034" i="1"/>
  <c r="L1035" i="1"/>
  <c r="N1035" i="1" s="1"/>
  <c r="L1036" i="1"/>
  <c r="N1036" i="1" s="1"/>
  <c r="L1037" i="1"/>
  <c r="N1037" i="1" s="1"/>
  <c r="L1040" i="1"/>
  <c r="L1041" i="1"/>
  <c r="N1041" i="1" s="1"/>
  <c r="L1042" i="1"/>
  <c r="N1042" i="1" s="1"/>
  <c r="L1043" i="1"/>
  <c r="N1043" i="1" s="1"/>
  <c r="L1046" i="1"/>
  <c r="L1047" i="1"/>
  <c r="N1047" i="1" s="1"/>
  <c r="L1048" i="1"/>
  <c r="N1048" i="1" s="1"/>
  <c r="L1049" i="1"/>
  <c r="N1049" i="1" s="1"/>
  <c r="L1051" i="1"/>
  <c r="L1052" i="1"/>
  <c r="N1052" i="1" s="1"/>
  <c r="L1053" i="1"/>
  <c r="N1053" i="1" s="1"/>
  <c r="L1056" i="1"/>
  <c r="N1056" i="1" s="1"/>
  <c r="L1057" i="1"/>
  <c r="L1059" i="1"/>
  <c r="N1059" i="1" s="1"/>
  <c r="L1060" i="1"/>
  <c r="N1060" i="1" s="1"/>
  <c r="L1061" i="1"/>
  <c r="N1061" i="1" s="1"/>
  <c r="L1062" i="1"/>
  <c r="L1063" i="1"/>
  <c r="N1063" i="1" s="1"/>
  <c r="L1064" i="1"/>
  <c r="N1064" i="1" s="1"/>
  <c r="L1065" i="1"/>
  <c r="N1065" i="1" s="1"/>
  <c r="L1069" i="1"/>
  <c r="L1070" i="1"/>
  <c r="N1070" i="1" s="1"/>
  <c r="L1071" i="1"/>
  <c r="N1071" i="1" s="1"/>
  <c r="L1072" i="1"/>
  <c r="N1072" i="1" s="1"/>
  <c r="L1073" i="1"/>
  <c r="L1074" i="1"/>
  <c r="N1074" i="1" s="1"/>
  <c r="L1075" i="1"/>
  <c r="N1075" i="1" s="1"/>
  <c r="L1076" i="1"/>
  <c r="N1076" i="1" s="1"/>
  <c r="L1077" i="1"/>
  <c r="L1078" i="1"/>
  <c r="N1078" i="1" s="1"/>
  <c r="L1079" i="1"/>
  <c r="N1079" i="1" s="1"/>
  <c r="L1080" i="1"/>
  <c r="N1080" i="1" s="1"/>
  <c r="L1081" i="1"/>
  <c r="L1082" i="1"/>
  <c r="N1082" i="1" s="1"/>
  <c r="L1083" i="1"/>
  <c r="N1083" i="1" s="1"/>
  <c r="L1084" i="1"/>
  <c r="N1084" i="1" s="1"/>
  <c r="L1085" i="1"/>
  <c r="L1086" i="1"/>
  <c r="N1086" i="1" s="1"/>
  <c r="L1087" i="1"/>
  <c r="N1087" i="1" s="1"/>
  <c r="L1089" i="1"/>
  <c r="N1089" i="1" s="1"/>
  <c r="L1091" i="1"/>
  <c r="L1092" i="1"/>
  <c r="N1092" i="1" s="1"/>
  <c r="L1093" i="1"/>
  <c r="N1093" i="1" s="1"/>
  <c r="L1094" i="1"/>
  <c r="N1094" i="1" s="1"/>
  <c r="L1095" i="1"/>
  <c r="L1096" i="1"/>
  <c r="N1096" i="1" s="1"/>
  <c r="L1098" i="1"/>
  <c r="N1098" i="1" s="1"/>
  <c r="L1099" i="1"/>
  <c r="N1099" i="1" s="1"/>
  <c r="L1101" i="1"/>
  <c r="L1102" i="1"/>
  <c r="N1102" i="1" s="1"/>
  <c r="L1103" i="1"/>
  <c r="N1103" i="1" s="1"/>
  <c r="L1105" i="1"/>
  <c r="N1105" i="1" s="1"/>
  <c r="L1106" i="1"/>
  <c r="L1107" i="1"/>
  <c r="N1107" i="1" s="1"/>
  <c r="L1109" i="1"/>
  <c r="N1109" i="1" s="1"/>
  <c r="L1112" i="1"/>
  <c r="N1112" i="1" s="1"/>
  <c r="L1113" i="1"/>
  <c r="L1114" i="1"/>
  <c r="N1114" i="1" s="1"/>
  <c r="L1115" i="1"/>
  <c r="N1115" i="1" s="1"/>
  <c r="L1117" i="1"/>
  <c r="N1117" i="1" s="1"/>
  <c r="L1119" i="1"/>
  <c r="L1120" i="1"/>
  <c r="N1120" i="1" s="1"/>
  <c r="L1122" i="1"/>
  <c r="N1122" i="1" s="1"/>
  <c r="L1124" i="1"/>
  <c r="N1124" i="1" s="1"/>
  <c r="L1125" i="1"/>
  <c r="L1126" i="1"/>
  <c r="N1126" i="1" s="1"/>
  <c r="L1127" i="1"/>
  <c r="N1127" i="1" s="1"/>
  <c r="L1128" i="1"/>
  <c r="N1128" i="1" s="1"/>
  <c r="L1131" i="1"/>
  <c r="L1132" i="1"/>
  <c r="N1132" i="1" s="1"/>
  <c r="L1133" i="1"/>
  <c r="N1133" i="1" s="1"/>
  <c r="L1134" i="1"/>
  <c r="N1134" i="1" s="1"/>
  <c r="L1135" i="1"/>
  <c r="L1136" i="1"/>
  <c r="N1136" i="1" s="1"/>
  <c r="L1137" i="1"/>
  <c r="N1137" i="1" s="1"/>
  <c r="L1138" i="1"/>
  <c r="N1138" i="1" s="1"/>
  <c r="L1139" i="1"/>
  <c r="L1140" i="1"/>
  <c r="N1140" i="1" s="1"/>
  <c r="L1141" i="1"/>
  <c r="N1141" i="1" s="1"/>
  <c r="L1142" i="1"/>
  <c r="N1142" i="1" s="1"/>
  <c r="L1143" i="1"/>
  <c r="L1144" i="1"/>
  <c r="N1144" i="1" s="1"/>
  <c r="L1146" i="1"/>
  <c r="N1146" i="1" s="1"/>
  <c r="L1147" i="1"/>
  <c r="N1147" i="1" s="1"/>
  <c r="L1149" i="1"/>
  <c r="L1148" i="1"/>
  <c r="N1148" i="1" s="1"/>
  <c r="L1151" i="1"/>
  <c r="N1151" i="1" s="1"/>
  <c r="L1153" i="1"/>
  <c r="N1153" i="1" s="1"/>
  <c r="L1154" i="1"/>
  <c r="L1155" i="1"/>
  <c r="N1155" i="1" s="1"/>
  <c r="L1157" i="1"/>
  <c r="N1157" i="1" s="1"/>
  <c r="L1158" i="1"/>
  <c r="N1158" i="1" s="1"/>
  <c r="L1159" i="1"/>
  <c r="L1160" i="1"/>
  <c r="N1160" i="1" s="1"/>
  <c r="L1163" i="1"/>
  <c r="N1163" i="1" s="1"/>
  <c r="L1164" i="1"/>
  <c r="N1164" i="1" s="1"/>
  <c r="L1165" i="1"/>
  <c r="L1166" i="1"/>
  <c r="N1166" i="1" s="1"/>
  <c r="L1167" i="1"/>
  <c r="N1167" i="1" s="1"/>
  <c r="L1168" i="1"/>
  <c r="N1168" i="1" s="1"/>
  <c r="L1169" i="1"/>
  <c r="L1170" i="1"/>
  <c r="N1170" i="1" s="1"/>
  <c r="L1171" i="1"/>
  <c r="N1171" i="1" s="1"/>
  <c r="L1173" i="1"/>
  <c r="N1173" i="1" s="1"/>
  <c r="L1174" i="1"/>
  <c r="L1175" i="1"/>
  <c r="N1175" i="1" s="1"/>
  <c r="L1176" i="1"/>
  <c r="N1176" i="1" s="1"/>
  <c r="L1177" i="1"/>
  <c r="N1177" i="1" s="1"/>
  <c r="L1180" i="1"/>
  <c r="L1181" i="1"/>
  <c r="N1181" i="1" s="1"/>
  <c r="L1183" i="1"/>
  <c r="N1183" i="1" s="1"/>
  <c r="L1184" i="1"/>
  <c r="N1184" i="1" s="1"/>
  <c r="L1186" i="1"/>
  <c r="L1187" i="1"/>
  <c r="N1187" i="1" s="1"/>
  <c r="L1189" i="1"/>
  <c r="N1189" i="1" s="1"/>
  <c r="L1190" i="1"/>
  <c r="N1190" i="1" s="1"/>
  <c r="L1191" i="1"/>
  <c r="L1192" i="1"/>
  <c r="N1192" i="1" s="1"/>
  <c r="L1194" i="1"/>
  <c r="N1194" i="1" s="1"/>
  <c r="L1195" i="1"/>
  <c r="N1195" i="1" s="1"/>
  <c r="L1196" i="1"/>
  <c r="L1197" i="1"/>
  <c r="N1197" i="1" s="1"/>
  <c r="L1199" i="1"/>
  <c r="N1199" i="1" s="1"/>
  <c r="L1200" i="1"/>
  <c r="N1200" i="1" s="1"/>
  <c r="L1203" i="1"/>
  <c r="L1205" i="1"/>
  <c r="N1205" i="1" s="1"/>
  <c r="L1206" i="1"/>
  <c r="N1206" i="1" s="1"/>
  <c r="L1208" i="1"/>
  <c r="N1208" i="1" s="1"/>
  <c r="L1209" i="1"/>
  <c r="L1210" i="1"/>
  <c r="N1210" i="1" s="1"/>
  <c r="L1211" i="1"/>
  <c r="N1211" i="1" s="1"/>
  <c r="L1214" i="1"/>
  <c r="N1214" i="1" s="1"/>
  <c r="L1215" i="1"/>
  <c r="L1217" i="1"/>
  <c r="N1217" i="1" s="1"/>
  <c r="L1218" i="1"/>
  <c r="N1218" i="1" s="1"/>
  <c r="L1221" i="1"/>
  <c r="N1221" i="1" s="1"/>
  <c r="L1222" i="1"/>
  <c r="L1223" i="1"/>
  <c r="N1223" i="1" s="1"/>
  <c r="L1225" i="1"/>
  <c r="N1225" i="1" s="1"/>
  <c r="L1226" i="1"/>
  <c r="N1226" i="1" s="1"/>
  <c r="L1227" i="1"/>
  <c r="L1228" i="1"/>
  <c r="N1228" i="1" s="1"/>
  <c r="L1230" i="1"/>
  <c r="N1230" i="1" s="1"/>
  <c r="L1231" i="1"/>
  <c r="N1231" i="1" s="1"/>
  <c r="L1233" i="1"/>
  <c r="L1234" i="1"/>
  <c r="N1234" i="1" s="1"/>
  <c r="L1235" i="1"/>
  <c r="N1235" i="1" s="1"/>
  <c r="L1236" i="1"/>
  <c r="N1236" i="1" s="1"/>
  <c r="L1239" i="1"/>
  <c r="L1241" i="1"/>
  <c r="N1241" i="1" s="1"/>
  <c r="L1243" i="1"/>
  <c r="N1243" i="1" s="1"/>
  <c r="L1245" i="1"/>
  <c r="N1245" i="1" s="1"/>
  <c r="L1246" i="1"/>
  <c r="L1247" i="1"/>
  <c r="N1247" i="1" s="1"/>
  <c r="L1250" i="1"/>
  <c r="N1250" i="1" s="1"/>
  <c r="L1251" i="1"/>
  <c r="N1251" i="1" s="1"/>
  <c r="L1252" i="1"/>
  <c r="L1253" i="1"/>
  <c r="N1253" i="1" s="1"/>
  <c r="L1255" i="1"/>
  <c r="N1255" i="1" s="1"/>
  <c r="L1256" i="1"/>
  <c r="N1256" i="1" s="1"/>
  <c r="L1257" i="1"/>
  <c r="L1258" i="1"/>
  <c r="N1258" i="1" s="1"/>
  <c r="L1259" i="1"/>
  <c r="N1259" i="1" s="1"/>
  <c r="L1260" i="1"/>
  <c r="N1260" i="1" s="1"/>
  <c r="L1261" i="1"/>
  <c r="N1261" i="1" s="1"/>
  <c r="L1262" i="1"/>
  <c r="N1262" i="1" s="1"/>
  <c r="L1045" i="1"/>
  <c r="N1045" i="1" s="1"/>
  <c r="L1201" i="1"/>
  <c r="N1201" i="1" s="1"/>
  <c r="L257" i="1"/>
  <c r="L1050" i="1"/>
  <c r="N1050" i="1" s="1"/>
  <c r="L1188" i="1"/>
  <c r="N1188" i="1" s="1"/>
  <c r="L316" i="1"/>
  <c r="N316" i="1" s="1"/>
  <c r="L482" i="1"/>
  <c r="L1202" i="1"/>
  <c r="N1202" i="1" s="1"/>
  <c r="L624" i="1"/>
  <c r="N624" i="1" s="1"/>
  <c r="L560" i="1"/>
  <c r="N560" i="1" s="1"/>
  <c r="L922" i="1"/>
  <c r="L1242" i="1"/>
  <c r="N1242" i="1" s="1"/>
  <c r="L796" i="1"/>
  <c r="N796" i="1" s="1"/>
  <c r="N922" i="1"/>
  <c r="N482" i="1"/>
  <c r="N257" i="1"/>
  <c r="N259" i="1"/>
  <c r="N375" i="1"/>
  <c r="N711" i="1"/>
  <c r="N1249" i="1"/>
  <c r="N291" i="1"/>
  <c r="N165" i="1"/>
  <c r="N916" i="1"/>
  <c r="N570" i="1"/>
  <c r="N973" i="1"/>
  <c r="N205" i="1"/>
  <c r="N218" i="1"/>
  <c r="N1013" i="1"/>
  <c r="N153" i="1"/>
  <c r="N380" i="1"/>
  <c r="N196" i="1"/>
  <c r="N697" i="1"/>
  <c r="N544" i="1"/>
  <c r="N1009" i="1"/>
  <c r="N515" i="1"/>
  <c r="N281" i="1"/>
  <c r="N1252" i="1"/>
  <c r="N488" i="1"/>
  <c r="N932" i="1"/>
  <c r="N85" i="1"/>
  <c r="N866" i="1"/>
  <c r="N778" i="1"/>
  <c r="N26" i="1"/>
  <c r="N493" i="1"/>
  <c r="N759" i="1"/>
  <c r="N566" i="1"/>
  <c r="N792" i="1"/>
  <c r="N244" i="1"/>
  <c r="N926" i="1"/>
  <c r="N451" i="1"/>
  <c r="N890" i="1"/>
  <c r="N859" i="1"/>
  <c r="N705" i="1"/>
  <c r="L8" i="1"/>
  <c r="N8" i="1" s="1"/>
  <c r="N103" i="1"/>
  <c r="N518" i="1"/>
  <c r="N939" i="1"/>
  <c r="N894" i="1"/>
  <c r="N1034" i="1"/>
  <c r="N617" i="1"/>
  <c r="N139" i="1"/>
  <c r="N276" i="1"/>
  <c r="N662" i="1"/>
  <c r="N209" i="1"/>
  <c r="N144" i="1"/>
  <c r="N403" i="1"/>
  <c r="N77" i="1"/>
  <c r="N468" i="1"/>
  <c r="N326" i="1"/>
  <c r="N754" i="1"/>
  <c r="N192" i="1"/>
  <c r="N573" i="1"/>
  <c r="N539" i="1"/>
  <c r="N738" i="1"/>
  <c r="N1062" i="1"/>
  <c r="N1101" i="1"/>
  <c r="N113" i="1"/>
  <c r="N913" i="1"/>
  <c r="N177" i="1"/>
  <c r="N171" i="1"/>
  <c r="N729" i="1"/>
  <c r="N622" i="1"/>
  <c r="N1106" i="1"/>
  <c r="N750" i="1"/>
  <c r="N339" i="1"/>
  <c r="N497" i="1"/>
  <c r="N784" i="1"/>
  <c r="N14" i="1"/>
  <c r="N72" i="1"/>
  <c r="N66" i="1"/>
  <c r="N1227" i="1"/>
  <c r="N1125" i="1"/>
  <c r="N31" i="1"/>
  <c r="N22" i="1"/>
  <c r="N1139" i="1"/>
  <c r="N1077" i="1"/>
  <c r="N18" i="1"/>
  <c r="N9" i="1"/>
  <c r="N1246" i="1"/>
  <c r="N1186" i="1"/>
  <c r="N1257" i="1"/>
  <c r="N97" i="1"/>
  <c r="N1239" i="1"/>
  <c r="N15" i="1"/>
  <c r="N1233" i="1"/>
  <c r="N1222" i="1"/>
  <c r="N1215" i="1"/>
  <c r="N1209" i="1"/>
  <c r="N1203" i="1"/>
  <c r="N1091" i="1"/>
  <c r="N1191" i="1"/>
  <c r="N1174" i="1"/>
  <c r="N1180" i="1"/>
  <c r="N1196" i="1"/>
  <c r="N841" i="1"/>
  <c r="N1169" i="1"/>
  <c r="N1159" i="1"/>
  <c r="N1143" i="1"/>
  <c r="N1030" i="1"/>
  <c r="N1165" i="1"/>
  <c r="N1149" i="1"/>
  <c r="N1131" i="1"/>
  <c r="N1119" i="1"/>
  <c r="N1073" i="1"/>
  <c r="N1021" i="1"/>
  <c r="N975" i="1"/>
  <c r="N1040" i="1"/>
  <c r="N1095" i="1"/>
  <c r="N1057" i="1"/>
  <c r="N1113" i="1"/>
  <c r="N1081" i="1"/>
  <c r="N1069" i="1"/>
  <c r="N986" i="1"/>
  <c r="N1051" i="1"/>
  <c r="N1000" i="1"/>
  <c r="N950" i="1"/>
  <c r="N1026" i="1"/>
  <c r="N1017" i="1"/>
  <c r="N991" i="1"/>
  <c r="N1046" i="1"/>
  <c r="N1004" i="1"/>
  <c r="N959" i="1"/>
  <c r="N944" i="1"/>
  <c r="N903" i="1"/>
  <c r="N996" i="1"/>
  <c r="N875" i="1"/>
  <c r="N854" i="1"/>
  <c r="N981" i="1"/>
  <c r="N930" i="1"/>
  <c r="N863" i="1"/>
  <c r="N719" i="1"/>
  <c r="N845" i="1"/>
  <c r="N879" i="1"/>
  <c r="N818" i="1"/>
  <c r="N849" i="1"/>
  <c r="N764" i="1"/>
  <c r="N835" i="1"/>
  <c r="N666" i="1"/>
  <c r="N769" i="1"/>
  <c r="N689" i="1"/>
  <c r="N594" i="1"/>
  <c r="N35" i="1"/>
  <c r="N439" i="1"/>
  <c r="N613" i="1"/>
  <c r="N455" i="1"/>
  <c r="N526" i="1"/>
  <c r="N589" i="1"/>
  <c r="N595" i="1"/>
  <c r="N609" i="1"/>
  <c r="N685" i="1"/>
  <c r="N802" i="1"/>
  <c r="N394" i="1"/>
  <c r="N509" i="1"/>
  <c r="N637" i="1"/>
  <c r="N648" i="1"/>
  <c r="N676" i="1"/>
  <c r="N715" i="1"/>
  <c r="N723" i="1"/>
  <c r="N734" i="1"/>
  <c r="N350" i="1"/>
  <c r="N501" i="1"/>
  <c r="N505" i="1"/>
  <c r="N535" i="1"/>
  <c r="N603" i="1"/>
  <c r="N632" i="1"/>
  <c r="N654" i="1"/>
  <c r="N680" i="1"/>
  <c r="N745" i="1"/>
  <c r="N797" i="1"/>
  <c r="N813" i="1"/>
  <c r="N828" i="1"/>
  <c r="N884" i="1"/>
  <c r="N447" i="1"/>
  <c r="N480" i="1"/>
  <c r="N552" i="1"/>
  <c r="N559" i="1"/>
  <c r="N583" i="1"/>
  <c r="N627" i="1"/>
  <c r="N643" i="1"/>
  <c r="N658" i="1"/>
  <c r="N672" i="1"/>
  <c r="N701" i="1"/>
  <c r="N709" i="1"/>
  <c r="N869" i="1"/>
  <c r="N954" i="1"/>
  <c r="N964" i="1"/>
  <c r="N411" i="1"/>
  <c r="N513" i="1"/>
  <c r="N548" i="1"/>
  <c r="N599" i="1"/>
  <c r="N693" i="1"/>
  <c r="N808" i="1"/>
  <c r="N476" i="1"/>
  <c r="N423" i="1"/>
  <c r="N366" i="1"/>
  <c r="N472" i="1"/>
  <c r="N459" i="1"/>
  <c r="N288" i="1"/>
  <c r="N214" i="1"/>
  <c r="N398" i="1"/>
  <c r="N370" i="1"/>
  <c r="N354" i="1"/>
  <c r="N235" i="1"/>
  <c r="N385" i="1"/>
  <c r="N188" i="1"/>
  <c r="N345" i="1"/>
  <c r="N111" i="1"/>
  <c r="N272" i="1"/>
  <c r="N248" i="1"/>
  <c r="N277" i="1"/>
  <c r="N266" i="1"/>
  <c r="N315" i="1"/>
  <c r="N305" i="1"/>
  <c r="N295" i="1"/>
  <c r="N240" i="1"/>
  <c r="N254" i="1"/>
  <c r="N183" i="1"/>
  <c r="N92" i="1"/>
  <c r="N128" i="1"/>
  <c r="N51" i="1"/>
  <c r="N44" i="1"/>
  <c r="N909" i="1"/>
  <c r="N822" i="1"/>
  <c r="N1135" i="1"/>
  <c r="N530" i="1"/>
  <c r="N435" i="1"/>
  <c r="N429" i="1"/>
  <c r="N407" i="1"/>
  <c r="N362" i="1"/>
  <c r="N335" i="1"/>
  <c r="N311" i="1"/>
  <c r="N204" i="1"/>
  <c r="N158" i="1"/>
  <c r="N134" i="1"/>
  <c r="N123" i="1"/>
  <c r="N224" i="1"/>
  <c r="N522" i="1"/>
  <c r="N464" i="1"/>
  <c r="N418" i="1"/>
  <c r="N361" i="1"/>
  <c r="N330" i="1"/>
  <c r="N327" i="1"/>
  <c r="N320" i="1"/>
  <c r="N230" i="1"/>
  <c r="N164" i="1"/>
  <c r="N118" i="1"/>
  <c r="N107" i="1"/>
  <c r="N86" i="1"/>
  <c r="N60" i="1"/>
  <c r="N53" i="1"/>
  <c r="N148" i="1"/>
  <c r="N81" i="1"/>
  <c r="N387" i="1"/>
  <c r="N970" i="1"/>
  <c r="N1085" i="1"/>
  <c r="N1154" i="1"/>
  <c r="N5" i="1" l="1"/>
  <c r="L5" i="1"/>
  <c r="K5" i="1"/>
  <c r="M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tc={399A79D3-1090-4649-981D-070E2EF78245}</author>
    <author>tc={2B60538C-A2BE-4FA6-9B9A-BC0F4706A5C8}</author>
  </authors>
  <commentList>
    <comment ref="C373" authorId="0" shapeId="0" xr:uid="{399A79D3-1090-4649-981D-070E2EF7824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 ESTA EN AGROSALTA, en espera de la baja de su antiguo seguro.</t>
        </r>
      </text>
    </comment>
    <comment ref="C479" authorId="1" shapeId="0" xr:uid="{2B60538C-A2BE-4FA6-9B9A-BC0F4706A5C8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 LO PAGA MAS
Reply:
    DAR DE BAJA!!</t>
        </r>
      </text>
    </comment>
  </commentList>
</comments>
</file>

<file path=xl/sharedStrings.xml><?xml version="1.0" encoding="utf-8"?>
<sst xmlns="http://schemas.openxmlformats.org/spreadsheetml/2006/main" count="6941" uniqueCount="3135">
  <si>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</si>
  <si>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</si>
  <si>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</si>
  <si>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</si>
  <si>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</si>
  <si>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</si>
  <si>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</si>
  <si>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</si>
  <si>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</si>
  <si>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</si>
  <si>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</si>
  <si>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</si>
  <si>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</si>
  <si>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</si>
  <si>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</si>
  <si>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</si>
  <si>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</si>
  <si>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</si>
  <si>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</si>
  <si>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</si>
  <si>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</si>
  <si>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</si>
  <si>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</si>
  <si>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</si>
  <si>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ACEVEDO </t>
  </si>
  <si>
    <t>OMAR NICOLAS</t>
  </si>
  <si>
    <t xml:space="preserve">Agrosalta </t>
  </si>
  <si>
    <t>DYO283</t>
  </si>
  <si>
    <t>A</t>
  </si>
  <si>
    <t>EUGENIO</t>
  </si>
  <si>
    <t>GEY623</t>
  </si>
  <si>
    <t>ANTONIO</t>
  </si>
  <si>
    <t>SGK267</t>
  </si>
  <si>
    <t>ACHAVAL</t>
  </si>
  <si>
    <t>LUIS GERARDO</t>
  </si>
  <si>
    <t>AGROSALTA</t>
  </si>
  <si>
    <t>GJI852</t>
  </si>
  <si>
    <t>ACOSTA</t>
  </si>
  <si>
    <t>FRANCISCO RAMON</t>
  </si>
  <si>
    <t>IXX440</t>
  </si>
  <si>
    <t>MARTIN JAVIER</t>
  </si>
  <si>
    <t>101RKG463</t>
  </si>
  <si>
    <t>BRAIAN LEONEL</t>
  </si>
  <si>
    <t>TPR380</t>
  </si>
  <si>
    <t>PABLO DANIEL</t>
  </si>
  <si>
    <t>VXA124</t>
  </si>
  <si>
    <t>ALEJANDRO GABRIEL</t>
  </si>
  <si>
    <t>SSH763</t>
  </si>
  <si>
    <t>RKG463</t>
  </si>
  <si>
    <t>EZEQUIEL OSCAR</t>
  </si>
  <si>
    <t>DZX238</t>
  </si>
  <si>
    <t>JUAN CARLOS</t>
  </si>
  <si>
    <t>CBD690</t>
  </si>
  <si>
    <t>RODOLFO GERMAN</t>
  </si>
  <si>
    <t>NDR084</t>
  </si>
  <si>
    <t>ACOSTA PEREZ</t>
  </si>
  <si>
    <t>ALAN NAHUEL</t>
  </si>
  <si>
    <t>BQZ456</t>
  </si>
  <si>
    <t>ACUÑA</t>
  </si>
  <si>
    <t>RAFAEL MERCEDES</t>
  </si>
  <si>
    <t>FXK706</t>
  </si>
  <si>
    <t>AGUAYO ARGOTE</t>
  </si>
  <si>
    <t>GERONIMO</t>
  </si>
  <si>
    <t>XEA374</t>
  </si>
  <si>
    <t>AGUERO</t>
  </si>
  <si>
    <t>MARIANO</t>
  </si>
  <si>
    <t>TKB149</t>
  </si>
  <si>
    <t>AGUIAR</t>
  </si>
  <si>
    <t>JORGE MARIANO</t>
  </si>
  <si>
    <t>TYY709</t>
  </si>
  <si>
    <t>se le rompio el auto</t>
  </si>
  <si>
    <t>AGUILAR</t>
  </si>
  <si>
    <t>ROMINA BEATRIZ</t>
  </si>
  <si>
    <t>ATM</t>
  </si>
  <si>
    <t>OGH975</t>
  </si>
  <si>
    <t>ROBO</t>
  </si>
  <si>
    <t>YAMILA ANAHI</t>
  </si>
  <si>
    <t>DIGNA</t>
  </si>
  <si>
    <t>FOK672</t>
  </si>
  <si>
    <t>B</t>
  </si>
  <si>
    <t>AGUIRRE</t>
  </si>
  <si>
    <t>LORENZO ESTEBAN</t>
  </si>
  <si>
    <t>GBY697</t>
  </si>
  <si>
    <t>JUAN JAVIER</t>
  </si>
  <si>
    <t>CJQ128</t>
  </si>
  <si>
    <t>PABLO NICOLAS</t>
  </si>
  <si>
    <t>KTI841</t>
  </si>
  <si>
    <t>AIELLO</t>
  </si>
  <si>
    <t>VICENTE ALBERTO</t>
  </si>
  <si>
    <t>AEP855</t>
  </si>
  <si>
    <t>ALBERTO VICENTE</t>
  </si>
  <si>
    <t>SNZ584</t>
  </si>
  <si>
    <t>SBQ415</t>
  </si>
  <si>
    <t>ALAMO</t>
  </si>
  <si>
    <t>NICOLAS BAUTISTA</t>
  </si>
  <si>
    <t>VRX791</t>
  </si>
  <si>
    <t>ALARCON</t>
  </si>
  <si>
    <t>JOSE ENRIQUE</t>
  </si>
  <si>
    <t>EVW990</t>
  </si>
  <si>
    <t>ALBARRACIN</t>
  </si>
  <si>
    <t>MARCELA FABIANA</t>
  </si>
  <si>
    <t>FLK561</t>
  </si>
  <si>
    <t>ALEGRE</t>
  </si>
  <si>
    <t>ADOLFO ARIEL</t>
  </si>
  <si>
    <t>DTG165</t>
  </si>
  <si>
    <t>ALFARO</t>
  </si>
  <si>
    <t>FEDERICO ABEL</t>
  </si>
  <si>
    <t>COD372</t>
  </si>
  <si>
    <t>ALFONSO</t>
  </si>
  <si>
    <t>ARNALDO</t>
  </si>
  <si>
    <t>FVU427</t>
  </si>
  <si>
    <t>ALLENDE</t>
  </si>
  <si>
    <t>GUILLERMO ARTURO</t>
  </si>
  <si>
    <t>EAT237</t>
  </si>
  <si>
    <t>SVZ167</t>
  </si>
  <si>
    <t>CPX636</t>
  </si>
  <si>
    <t>ALMADA</t>
  </si>
  <si>
    <t>MIGUEL ANGEL</t>
  </si>
  <si>
    <t>AD280DW</t>
  </si>
  <si>
    <t>ALMANDOZ</t>
  </si>
  <si>
    <t>MAXIMILIANO JAVIER</t>
  </si>
  <si>
    <t>JWQ124</t>
  </si>
  <si>
    <t>ALMARAZ</t>
  </si>
  <si>
    <t>SERGIO MATIAS</t>
  </si>
  <si>
    <t>MYA338</t>
  </si>
  <si>
    <t>GZK039</t>
  </si>
  <si>
    <t>ALMARAZ`</t>
  </si>
  <si>
    <t>ARIEL AGUSTIN</t>
  </si>
  <si>
    <t>RWS476</t>
  </si>
  <si>
    <t>CAROLINA DEL CARMEN</t>
  </si>
  <si>
    <t>CIA697</t>
  </si>
  <si>
    <t>ALMIRON</t>
  </si>
  <si>
    <t>FABIAN RICARDO</t>
  </si>
  <si>
    <t>SLH982</t>
  </si>
  <si>
    <t>ALOMO</t>
  </si>
  <si>
    <t>JORGE</t>
  </si>
  <si>
    <t>EXZ172</t>
  </si>
  <si>
    <t>ALONSO</t>
  </si>
  <si>
    <t>GUSTAVO DANIEL</t>
  </si>
  <si>
    <t>ASS135</t>
  </si>
  <si>
    <t>ALONSO RECAYTE</t>
  </si>
  <si>
    <t>JOSE LUIS</t>
  </si>
  <si>
    <t>ESS053</t>
  </si>
  <si>
    <t xml:space="preserve"> ERNESTO ALFREDO</t>
  </si>
  <si>
    <t>CFP316</t>
  </si>
  <si>
    <t>ALTAMIRANO</t>
  </si>
  <si>
    <t>JENNIFER AYELEN</t>
  </si>
  <si>
    <t>ARL136</t>
  </si>
  <si>
    <t xml:space="preserve">ALTAMIRANO </t>
  </si>
  <si>
    <t>BRYAN LUIS</t>
  </si>
  <si>
    <t>BQH308</t>
  </si>
  <si>
    <t>ALTAMIRANO CID</t>
  </si>
  <si>
    <t>BRAIAN NAHUEL</t>
  </si>
  <si>
    <t>DTA614</t>
  </si>
  <si>
    <t>ALVARES</t>
  </si>
  <si>
    <t>BETIANA GISELE</t>
  </si>
  <si>
    <t>EEN895</t>
  </si>
  <si>
    <t>ALVAREZ</t>
  </si>
  <si>
    <t>HORACIO EMILIO</t>
  </si>
  <si>
    <t>PROVIDENCIA</t>
  </si>
  <si>
    <t>HQN670</t>
  </si>
  <si>
    <t>JFA301</t>
  </si>
  <si>
    <t>NORBERTO RENE</t>
  </si>
  <si>
    <t>TEK337</t>
  </si>
  <si>
    <t>GABRIEL HERNAN</t>
  </si>
  <si>
    <t>CRP738</t>
  </si>
  <si>
    <t>SILVIA ELIZABETH</t>
  </si>
  <si>
    <t>KWS030</t>
  </si>
  <si>
    <t>ALVESS</t>
  </si>
  <si>
    <t>JOSE ALBERTO</t>
  </si>
  <si>
    <t>KKL879</t>
  </si>
  <si>
    <t>ALZAMORA</t>
  </si>
  <si>
    <t>JULIO CESAR</t>
  </si>
  <si>
    <t>TUM448</t>
  </si>
  <si>
    <t xml:space="preserve">ALZAMORA </t>
  </si>
  <si>
    <t>OFF836</t>
  </si>
  <si>
    <t>AMARILLA</t>
  </si>
  <si>
    <t>NORMA BEATRIZ</t>
  </si>
  <si>
    <t>AA387KZ</t>
  </si>
  <si>
    <t>FERNANDO ALBINO</t>
  </si>
  <si>
    <t>WGF098</t>
  </si>
  <si>
    <t>BRUNO ARIEL</t>
  </si>
  <si>
    <t>LAO538</t>
  </si>
  <si>
    <t>C</t>
  </si>
  <si>
    <t>OSCAR</t>
  </si>
  <si>
    <t>AKR189</t>
  </si>
  <si>
    <t>LIANA PAOLA</t>
  </si>
  <si>
    <t>APQ795</t>
  </si>
  <si>
    <t>AMAYA</t>
  </si>
  <si>
    <t>ROBERTO VALENTIN</t>
  </si>
  <si>
    <t>CBD969</t>
  </si>
  <si>
    <t>ANDRADA</t>
  </si>
  <si>
    <t xml:space="preserve">Jorge Ramon </t>
  </si>
  <si>
    <t>ILQ473</t>
  </si>
  <si>
    <t>ANDRADE</t>
  </si>
  <si>
    <t>ROXANA ANDREA</t>
  </si>
  <si>
    <t>MTH918</t>
  </si>
  <si>
    <t>SANTOS GABRIEL</t>
  </si>
  <si>
    <t>LGT029</t>
  </si>
  <si>
    <t>ANRRIQUEZ</t>
  </si>
  <si>
    <t>DANIEL OSVALDO</t>
  </si>
  <si>
    <t>TXT332</t>
  </si>
  <si>
    <t>APARICIO</t>
  </si>
  <si>
    <t>JORGE DANIEL</t>
  </si>
  <si>
    <t>EFN325</t>
  </si>
  <si>
    <t>AQUEDA</t>
  </si>
  <si>
    <t>FABIAN ALFREDO</t>
  </si>
  <si>
    <t>SFB655</t>
  </si>
  <si>
    <t>AQUINO</t>
  </si>
  <si>
    <t>AQUINO JOSE</t>
  </si>
  <si>
    <t>AB474UN</t>
  </si>
  <si>
    <t>CARLOS JAVIER</t>
  </si>
  <si>
    <t>HIJ007</t>
  </si>
  <si>
    <t>ARAGON</t>
  </si>
  <si>
    <t>JUAN RAMON</t>
  </si>
  <si>
    <t>DCD327</t>
  </si>
  <si>
    <t>EDMUNDO ALEJANDRO</t>
  </si>
  <si>
    <t>BRL658</t>
  </si>
  <si>
    <t>ARANDA</t>
  </si>
  <si>
    <t>DYLAN AGUSTIN</t>
  </si>
  <si>
    <t>VDG246</t>
  </si>
  <si>
    <t>ENF525</t>
  </si>
  <si>
    <t xml:space="preserve">SANTIAGO GERARDO </t>
  </si>
  <si>
    <t>CFU437</t>
  </si>
  <si>
    <t>ARANIBAR</t>
  </si>
  <si>
    <t>IVAN EZEQUIEL</t>
  </si>
  <si>
    <t>DKA815</t>
  </si>
  <si>
    <t>ARAPEY</t>
  </si>
  <si>
    <t>ARIEL FERNANDO</t>
  </si>
  <si>
    <t>EYM515</t>
  </si>
  <si>
    <t>ARAUJO</t>
  </si>
  <si>
    <t>MELANY CELESTE</t>
  </si>
  <si>
    <t>EQUIDAD</t>
  </si>
  <si>
    <t>AUB041</t>
  </si>
  <si>
    <t>JAVIER ALEJANDRO</t>
  </si>
  <si>
    <t>BVJ484</t>
  </si>
  <si>
    <t>ARCE</t>
  </si>
  <si>
    <t>ELIO FERNANDO</t>
  </si>
  <si>
    <t>FTF414</t>
  </si>
  <si>
    <t>IIA243</t>
  </si>
  <si>
    <t>ARGAÑARAZ</t>
  </si>
  <si>
    <t xml:space="preserve">GONZALO ALEXIS </t>
  </si>
  <si>
    <t>TJP195</t>
  </si>
  <si>
    <t>ARGOTE CALVI</t>
  </si>
  <si>
    <t>FELIPE</t>
  </si>
  <si>
    <t>BMU445</t>
  </si>
  <si>
    <t>ARGUELLO</t>
  </si>
  <si>
    <t>IVAN EMMANUEL</t>
  </si>
  <si>
    <t>NXQ182</t>
  </si>
  <si>
    <t>CARLOS DANIEL</t>
  </si>
  <si>
    <t>IQG108</t>
  </si>
  <si>
    <t>ARIAS</t>
  </si>
  <si>
    <t>NICOLAS ASLEJANDRO</t>
  </si>
  <si>
    <t>PNV600</t>
  </si>
  <si>
    <t>NICOLAS ALEJANDRO</t>
  </si>
  <si>
    <t>HLB333</t>
  </si>
  <si>
    <t>ALAN ALBERTO</t>
  </si>
  <si>
    <t>AIT579</t>
  </si>
  <si>
    <t>MANUEL DE JESUS</t>
  </si>
  <si>
    <t>FEDERACION PATRONAL</t>
  </si>
  <si>
    <t>AD952KI</t>
  </si>
  <si>
    <t>ENRIQUE DAMIAN</t>
  </si>
  <si>
    <t>HVO989</t>
  </si>
  <si>
    <t>ARIZA</t>
  </si>
  <si>
    <t>JOSE FELIX</t>
  </si>
  <si>
    <t>ATQ076</t>
  </si>
  <si>
    <t>MARCELO GERMAN</t>
  </si>
  <si>
    <t>LSG493</t>
  </si>
  <si>
    <t>ARIZTIZABAL</t>
  </si>
  <si>
    <t>ESTEBAN MARIO</t>
  </si>
  <si>
    <t>RVC149</t>
  </si>
  <si>
    <t>ARQUIMBAU</t>
  </si>
  <si>
    <t>HECTOR FABIAN</t>
  </si>
  <si>
    <t>LKM306</t>
  </si>
  <si>
    <t>ARRASCAETA</t>
  </si>
  <si>
    <t>GUIDO LEONARDO RICARDO</t>
  </si>
  <si>
    <t>BGH703</t>
  </si>
  <si>
    <t>SERGIO DAMIAN</t>
  </si>
  <si>
    <t>TOF439</t>
  </si>
  <si>
    <t>ARRIOLA</t>
  </si>
  <si>
    <t>ADOLFO MATIAS</t>
  </si>
  <si>
    <t>BUK895</t>
  </si>
  <si>
    <t>ARROM</t>
  </si>
  <si>
    <t>TAMARA YANINA</t>
  </si>
  <si>
    <t>FGA532</t>
  </si>
  <si>
    <t>ARROYO</t>
  </si>
  <si>
    <t>FABIAN HORACIO</t>
  </si>
  <si>
    <t>ABE660</t>
  </si>
  <si>
    <t>LUIS JORGE</t>
  </si>
  <si>
    <t>DRK468</t>
  </si>
  <si>
    <t>ARRUA</t>
  </si>
  <si>
    <t>EMILIANO</t>
  </si>
  <si>
    <t>DAN893</t>
  </si>
  <si>
    <t>ARZAMENDIA</t>
  </si>
  <si>
    <t>EUGENIO DANIEL</t>
  </si>
  <si>
    <t>CGH773</t>
  </si>
  <si>
    <t>ARMADA</t>
  </si>
  <si>
    <t>JORGE OMAR</t>
  </si>
  <si>
    <t>SMZ502</t>
  </si>
  <si>
    <t>ASBER</t>
  </si>
  <si>
    <t>LUCAS MAXIMILIANO</t>
  </si>
  <si>
    <t>BXE148</t>
  </si>
  <si>
    <t>ASENCIO</t>
  </si>
  <si>
    <t>ANGEL JESUS</t>
  </si>
  <si>
    <t>JPB761</t>
  </si>
  <si>
    <t>ANDREA VIVIANA</t>
  </si>
  <si>
    <t>ESC267</t>
  </si>
  <si>
    <t>FABIO DANIEL</t>
  </si>
  <si>
    <t>BJV852</t>
  </si>
  <si>
    <t>GABRIEL ALEJANDRO</t>
  </si>
  <si>
    <t>A140RKY</t>
  </si>
  <si>
    <t>AVALOS</t>
  </si>
  <si>
    <t>CARLOS EMANUEL</t>
  </si>
  <si>
    <t>UDQ450</t>
  </si>
  <si>
    <t>DIEGO CESAR</t>
  </si>
  <si>
    <t>FQS229</t>
  </si>
  <si>
    <t>LUIS FERNANDO</t>
  </si>
  <si>
    <t>TLU899</t>
  </si>
  <si>
    <t>AVILA</t>
  </si>
  <si>
    <t>FRANCO LIONEL</t>
  </si>
  <si>
    <t>TDA009</t>
  </si>
  <si>
    <t>AYALA MARTINEZ</t>
  </si>
  <si>
    <t>DANIEL</t>
  </si>
  <si>
    <t>AFF591</t>
  </si>
  <si>
    <t>BAEZ</t>
  </si>
  <si>
    <t>ALEJANDRO MARCELO</t>
  </si>
  <si>
    <t>BZT284</t>
  </si>
  <si>
    <t>FRANCISCO FERNANDO</t>
  </si>
  <si>
    <t>VNT934</t>
  </si>
  <si>
    <t>GUSTAVO ANGEL</t>
  </si>
  <si>
    <t>CJP056</t>
  </si>
  <si>
    <t>BAEZ HERRERA</t>
  </si>
  <si>
    <t>RUMILDO ARIEL</t>
  </si>
  <si>
    <t>AKG848</t>
  </si>
  <si>
    <t>BAGNASCO</t>
  </si>
  <si>
    <t>SERGIO FABIAN</t>
  </si>
  <si>
    <t>NOE904</t>
  </si>
  <si>
    <t>HEW801</t>
  </si>
  <si>
    <t xml:space="preserve">BAGNASCO </t>
  </si>
  <si>
    <t>YAMILA EVELYN</t>
  </si>
  <si>
    <t>CVN465</t>
  </si>
  <si>
    <t xml:space="preserve">BAIGORRIA </t>
  </si>
  <si>
    <t xml:space="preserve">JUAN ANGEL </t>
  </si>
  <si>
    <t>HNB424</t>
  </si>
  <si>
    <t>BALBUENA</t>
  </si>
  <si>
    <t xml:space="preserve">SERGIO EMMANUEL </t>
  </si>
  <si>
    <t>BBI780</t>
  </si>
  <si>
    <t>BALDIN</t>
  </si>
  <si>
    <t>KEVIN OMAR</t>
  </si>
  <si>
    <t>EWX921</t>
  </si>
  <si>
    <t>BALLON</t>
  </si>
  <si>
    <t>ELIANA MICAELA</t>
  </si>
  <si>
    <t>CIQ537</t>
  </si>
  <si>
    <t>Balquin</t>
  </si>
  <si>
    <t xml:space="preserve">Gabriela Sandra </t>
  </si>
  <si>
    <t>RTY611</t>
  </si>
  <si>
    <t>BALTAZAR CESPEDES</t>
  </si>
  <si>
    <t>ORLANDO</t>
  </si>
  <si>
    <t>AF417ES</t>
  </si>
  <si>
    <t>ELMER</t>
  </si>
  <si>
    <t>LCJ144</t>
  </si>
  <si>
    <t>BANDIN</t>
  </si>
  <si>
    <t>PABLO GABRIEL</t>
  </si>
  <si>
    <t>IKR897</t>
  </si>
  <si>
    <t>BARABAS</t>
  </si>
  <si>
    <t>NELSON GABRIEL</t>
  </si>
  <si>
    <t>UOB212</t>
  </si>
  <si>
    <t>BARAIN</t>
  </si>
  <si>
    <t>JORGE HUMBERTO</t>
  </si>
  <si>
    <t>BVE276</t>
  </si>
  <si>
    <t>BARBA</t>
  </si>
  <si>
    <t>CRISTIAN MARCELO</t>
  </si>
  <si>
    <t>JPM678</t>
  </si>
  <si>
    <t>BARBOA</t>
  </si>
  <si>
    <t>CARLOS ALBERTO</t>
  </si>
  <si>
    <t>VRO791</t>
  </si>
  <si>
    <t xml:space="preserve">BARNES </t>
  </si>
  <si>
    <t>GUILLERMO FRANCISCO</t>
  </si>
  <si>
    <t>ATK953</t>
  </si>
  <si>
    <t>BARONE</t>
  </si>
  <si>
    <t>CRISTIAN ANTONIO EZEQUIEL</t>
  </si>
  <si>
    <t>HVD931</t>
  </si>
  <si>
    <t>BARRAZA</t>
  </si>
  <si>
    <t>DIEGO DANIEL</t>
  </si>
  <si>
    <t>XII914</t>
  </si>
  <si>
    <t>OSCAR FERNANDO</t>
  </si>
  <si>
    <t>CUX560</t>
  </si>
  <si>
    <t xml:space="preserve">OSCAR RICARDO </t>
  </si>
  <si>
    <t>DGD792</t>
  </si>
  <si>
    <t>BARRIOS</t>
  </si>
  <si>
    <t xml:space="preserve">FELIX ENRIQUE </t>
  </si>
  <si>
    <t>TFP926</t>
  </si>
  <si>
    <t>OSCAR DANIEL</t>
  </si>
  <si>
    <t>UCI889</t>
  </si>
  <si>
    <t>BARTOCCI</t>
  </si>
  <si>
    <t>GISELLA JOHANA</t>
  </si>
  <si>
    <t>WKU833</t>
  </si>
  <si>
    <t xml:space="preserve">BASCOPE ORTUÑO </t>
  </si>
  <si>
    <t xml:space="preserve">JOSE FERNANDO </t>
  </si>
  <si>
    <t>MQW608</t>
  </si>
  <si>
    <t>BASTON</t>
  </si>
  <si>
    <t>EMILIANO ARIEL</t>
  </si>
  <si>
    <t>ACK075</t>
  </si>
  <si>
    <t>BASUALDO</t>
  </si>
  <si>
    <t>DANIEL ORLANDO</t>
  </si>
  <si>
    <t>MJH610</t>
  </si>
  <si>
    <t>NELSON ARTURO</t>
  </si>
  <si>
    <t>JKS931</t>
  </si>
  <si>
    <t xml:space="preserve">BEJAS </t>
  </si>
  <si>
    <t xml:space="preserve">WALTER ALEJANDRO </t>
  </si>
  <si>
    <t>A179YIB</t>
  </si>
  <si>
    <t>BELBEY</t>
  </si>
  <si>
    <t>DSO318</t>
  </si>
  <si>
    <t>BELL</t>
  </si>
  <si>
    <t>EDUARDO HORACIO</t>
  </si>
  <si>
    <t>WLO576</t>
  </si>
  <si>
    <t>BELOZO</t>
  </si>
  <si>
    <t>ARIEL DARIO</t>
  </si>
  <si>
    <t>BML614</t>
  </si>
  <si>
    <t>FQP652</t>
  </si>
  <si>
    <t>BELTRAN</t>
  </si>
  <si>
    <t>STEPHANIE PAOLA</t>
  </si>
  <si>
    <t>OYO793</t>
  </si>
  <si>
    <t>BENAVIDES</t>
  </si>
  <si>
    <t>GERARDO RAMON</t>
  </si>
  <si>
    <t>JKE029</t>
  </si>
  <si>
    <t>LUIS ANTONIO</t>
  </si>
  <si>
    <t>XAC384</t>
  </si>
  <si>
    <t>RAIMUNDO RAMON</t>
  </si>
  <si>
    <t>AB379DB</t>
  </si>
  <si>
    <t>/</t>
  </si>
  <si>
    <t>BENITEZ</t>
  </si>
  <si>
    <t>SERGIO OMAR</t>
  </si>
  <si>
    <t>DTF576</t>
  </si>
  <si>
    <t>TERESITA DE JESUS</t>
  </si>
  <si>
    <t>EMP641</t>
  </si>
  <si>
    <t>BRISA NOEMI</t>
  </si>
  <si>
    <t>FTJ414</t>
  </si>
  <si>
    <t>VEGA</t>
  </si>
  <si>
    <t>AZV710</t>
  </si>
  <si>
    <t>FRANCISCO JAVIER</t>
  </si>
  <si>
    <t>ELB817</t>
  </si>
  <si>
    <t>DIF570</t>
  </si>
  <si>
    <t>JOSE OMAR</t>
  </si>
  <si>
    <t>SVI682</t>
  </si>
  <si>
    <t>ARIEL ADOLFO</t>
  </si>
  <si>
    <t>BFR588</t>
  </si>
  <si>
    <t>DARIO</t>
  </si>
  <si>
    <t>DIV458</t>
  </si>
  <si>
    <t>ROMILIO RAMON</t>
  </si>
  <si>
    <t>HIE738</t>
  </si>
  <si>
    <t>GCV824</t>
  </si>
  <si>
    <t>BENITEZ CARNERO</t>
  </si>
  <si>
    <t>ANGEL SERGIO</t>
  </si>
  <si>
    <t>A172YNC</t>
  </si>
  <si>
    <t>BENITEZ VEGA</t>
  </si>
  <si>
    <t>WILFRIDO DARIO</t>
  </si>
  <si>
    <t>AZY790</t>
  </si>
  <si>
    <t>BIANCO</t>
  </si>
  <si>
    <t>SHEILA SOLANGE</t>
  </si>
  <si>
    <t>LWM912</t>
  </si>
  <si>
    <t>BINI</t>
  </si>
  <si>
    <t>JULIO ALBERTO</t>
  </si>
  <si>
    <t>UOK018</t>
  </si>
  <si>
    <t>BISCOCHEA</t>
  </si>
  <si>
    <t>FERNANDO WALTER</t>
  </si>
  <si>
    <t>MBD424</t>
  </si>
  <si>
    <t>BOL231</t>
  </si>
  <si>
    <t>FERNANDO CAMILO</t>
  </si>
  <si>
    <t>IZB372</t>
  </si>
  <si>
    <t>FERANNDO WALTER</t>
  </si>
  <si>
    <t>A180KSX</t>
  </si>
  <si>
    <t>BLANCO</t>
  </si>
  <si>
    <t>MATIAS ANGEL</t>
  </si>
  <si>
    <t>FQX513</t>
  </si>
  <si>
    <t>BLANYERO</t>
  </si>
  <si>
    <t>LEANDRO OMAR</t>
  </si>
  <si>
    <t>CMW377</t>
  </si>
  <si>
    <t>BOGAO</t>
  </si>
  <si>
    <t>NGX762</t>
  </si>
  <si>
    <t>BOGARIN CARBALLO</t>
  </si>
  <si>
    <t>RAUL ALFONSO</t>
  </si>
  <si>
    <t>NBN068</t>
  </si>
  <si>
    <t>BONAHORA</t>
  </si>
  <si>
    <t>TITO CARLOS</t>
  </si>
  <si>
    <t>204KEB</t>
  </si>
  <si>
    <t>KYA089</t>
  </si>
  <si>
    <t>BONFIGLIO</t>
  </si>
  <si>
    <t>CARLOS ARIEL</t>
  </si>
  <si>
    <t>AUR629</t>
  </si>
  <si>
    <t>BONZI</t>
  </si>
  <si>
    <t>ENZO FABIAN</t>
  </si>
  <si>
    <t>096ECU</t>
  </si>
  <si>
    <t>BORBA</t>
  </si>
  <si>
    <t>SABRINA EDITH</t>
  </si>
  <si>
    <t>ENJ774</t>
  </si>
  <si>
    <t>BORGE</t>
  </si>
  <si>
    <t>NESTOR IGNACIO</t>
  </si>
  <si>
    <t>CIH975</t>
  </si>
  <si>
    <t>BORJA</t>
  </si>
  <si>
    <t>RAFAEL</t>
  </si>
  <si>
    <t>WWP979</t>
  </si>
  <si>
    <t>BORSANI</t>
  </si>
  <si>
    <t>A200POL</t>
  </si>
  <si>
    <t>BRANDAN</t>
  </si>
  <si>
    <t>HECTOR RODOLFO</t>
  </si>
  <si>
    <t>PQF768</t>
  </si>
  <si>
    <t>PABLO</t>
  </si>
  <si>
    <t>FBZ542</t>
  </si>
  <si>
    <t>GUSTAVO EDUARDO</t>
  </si>
  <si>
    <t>MLL026</t>
  </si>
  <si>
    <t>HNG041</t>
  </si>
  <si>
    <t>BRAVO</t>
  </si>
  <si>
    <t>JUAN</t>
  </si>
  <si>
    <t>EIG221</t>
  </si>
  <si>
    <t>VNV438</t>
  </si>
  <si>
    <t>RRN477</t>
  </si>
  <si>
    <t>BRIANO</t>
  </si>
  <si>
    <t>EDUARDO DAVID</t>
  </si>
  <si>
    <t>JUS187</t>
  </si>
  <si>
    <t>BRIONES</t>
  </si>
  <si>
    <t>BLAS OSCAR</t>
  </si>
  <si>
    <t>ESS736</t>
  </si>
  <si>
    <t>BRITEZ</t>
  </si>
  <si>
    <t>GABRIEL MARCELO</t>
  </si>
  <si>
    <t>BSC725</t>
  </si>
  <si>
    <t>BRITO</t>
  </si>
  <si>
    <t>LOE480</t>
  </si>
  <si>
    <t>BRIUNO</t>
  </si>
  <si>
    <t>EDUARDO</t>
  </si>
  <si>
    <t>BRO253</t>
  </si>
  <si>
    <t>BRIZUELA</t>
  </si>
  <si>
    <t>JOSE ADRIAN</t>
  </si>
  <si>
    <t>FQB208</t>
  </si>
  <si>
    <t>BULAY</t>
  </si>
  <si>
    <t xml:space="preserve">LUIS ROBERTO </t>
  </si>
  <si>
    <t>TJI619</t>
  </si>
  <si>
    <t>BUSTAMANTE</t>
  </si>
  <si>
    <t>MATIAS NAHUEL</t>
  </si>
  <si>
    <t>461JAD</t>
  </si>
  <si>
    <t>CABALLERO</t>
  </si>
  <si>
    <t>CESAR ESTEBAN</t>
  </si>
  <si>
    <t>OCI871</t>
  </si>
  <si>
    <t>SERGIO DANIEL</t>
  </si>
  <si>
    <t>ELJ303</t>
  </si>
  <si>
    <t>FUF293</t>
  </si>
  <si>
    <t>CABRAL</t>
  </si>
  <si>
    <t>COSME CATALINO</t>
  </si>
  <si>
    <t>GXJ278</t>
  </si>
  <si>
    <t>CABRERA</t>
  </si>
  <si>
    <t>MARCELO ALEJANDRO</t>
  </si>
  <si>
    <t>NDZ403</t>
  </si>
  <si>
    <t>NAG404</t>
  </si>
  <si>
    <t>GUILLERMO JAVIER</t>
  </si>
  <si>
    <t>EVW698</t>
  </si>
  <si>
    <t>EDGAR LIONEL</t>
  </si>
  <si>
    <t>AOJ736</t>
  </si>
  <si>
    <t>CABRERA AZUAGA</t>
  </si>
  <si>
    <t>GFH725</t>
  </si>
  <si>
    <t xml:space="preserve">CACERES BENITEZ </t>
  </si>
  <si>
    <t>RAFAEL ANGEL</t>
  </si>
  <si>
    <t>HAB477</t>
  </si>
  <si>
    <t xml:space="preserve">CACHERO </t>
  </si>
  <si>
    <t xml:space="preserve">NORBERTO RUBEN </t>
  </si>
  <si>
    <t>BMC193</t>
  </si>
  <si>
    <t>CALDERON</t>
  </si>
  <si>
    <t>HECTOR ABEL</t>
  </si>
  <si>
    <t>URM664</t>
  </si>
  <si>
    <t>31/11/2024</t>
  </si>
  <si>
    <t>CALVORI</t>
  </si>
  <si>
    <t>MARIO FERNANDO</t>
  </si>
  <si>
    <t>ROL527</t>
  </si>
  <si>
    <t>SKN805</t>
  </si>
  <si>
    <t>CAMINOS</t>
  </si>
  <si>
    <t>HELIO ADOLFO</t>
  </si>
  <si>
    <t>JNR286</t>
  </si>
  <si>
    <t>CAMPOS</t>
  </si>
  <si>
    <t>GABRIEL JOSE</t>
  </si>
  <si>
    <t>SPU905</t>
  </si>
  <si>
    <t>DANIEL GUSTAVO</t>
  </si>
  <si>
    <t>GGC685</t>
  </si>
  <si>
    <t>CANTERO</t>
  </si>
  <si>
    <t>ROBERTO JOAQUIN</t>
  </si>
  <si>
    <t>TMN338</t>
  </si>
  <si>
    <t>CANTEROS</t>
  </si>
  <si>
    <t>ROMINA ANABELLA</t>
  </si>
  <si>
    <t>EAM412</t>
  </si>
  <si>
    <t>CANCHARI PEREZ</t>
  </si>
  <si>
    <t>ENZO LEONEL</t>
  </si>
  <si>
    <t>CBR663</t>
  </si>
  <si>
    <t>CARABAJAL</t>
  </si>
  <si>
    <t xml:space="preserve">MATIAS DAMIAN </t>
  </si>
  <si>
    <t>UPZ290</t>
  </si>
  <si>
    <t xml:space="preserve">CARABAJAL </t>
  </si>
  <si>
    <t>FRANCO SANTIAGO</t>
  </si>
  <si>
    <t>LIU371</t>
  </si>
  <si>
    <t>GASTON BENJAMIN</t>
  </si>
  <si>
    <t>WUT281</t>
  </si>
  <si>
    <t>CARABALLO</t>
  </si>
  <si>
    <t>DOT315</t>
  </si>
  <si>
    <t>CARBALLO</t>
  </si>
  <si>
    <t>CARDOSO</t>
  </si>
  <si>
    <t>YAMIL ALBERTO</t>
  </si>
  <si>
    <t>WZJ221</t>
  </si>
  <si>
    <t>ARQ993</t>
  </si>
  <si>
    <t>CARDOZO</t>
  </si>
  <si>
    <t>FABIAN ERNESTO</t>
  </si>
  <si>
    <t>EHP467</t>
  </si>
  <si>
    <t>Cardozo</t>
  </si>
  <si>
    <t>Alfonso Ricardo</t>
  </si>
  <si>
    <t>BNN297</t>
  </si>
  <si>
    <t>ERNESTO JESUS</t>
  </si>
  <si>
    <t>RLG454</t>
  </si>
  <si>
    <t>BGG176</t>
  </si>
  <si>
    <t>CARMONA</t>
  </si>
  <si>
    <t>MARIELA ALEJANDRA</t>
  </si>
  <si>
    <t>MVM802</t>
  </si>
  <si>
    <t>CARRANZA</t>
  </si>
  <si>
    <t>RICARDO FABIAN</t>
  </si>
  <si>
    <t>KHI041</t>
  </si>
  <si>
    <t>ECN630</t>
  </si>
  <si>
    <t>CVA395</t>
  </si>
  <si>
    <t>RAMON ALBERTO</t>
  </si>
  <si>
    <t>UHD413</t>
  </si>
  <si>
    <t>CARRASCO</t>
  </si>
  <si>
    <t>HECTOR MIGUEL</t>
  </si>
  <si>
    <t>JHY120</t>
  </si>
  <si>
    <t>CARRIZO</t>
  </si>
  <si>
    <t>FERNANDO RAUL</t>
  </si>
  <si>
    <t>SQP297</t>
  </si>
  <si>
    <t>XFN107</t>
  </si>
  <si>
    <t>CARTAMAN</t>
  </si>
  <si>
    <t>JHONATAN FEDERICO</t>
  </si>
  <si>
    <t>GGN394</t>
  </si>
  <si>
    <t>CASTAÑEIRA</t>
  </si>
  <si>
    <t>JUAN JOSE</t>
  </si>
  <si>
    <t>BHD959</t>
  </si>
  <si>
    <t>CASTILLO</t>
  </si>
  <si>
    <t xml:space="preserve">HUGO DANIEL </t>
  </si>
  <si>
    <t>UDX905</t>
  </si>
  <si>
    <t>WALTER MATIAS</t>
  </si>
  <si>
    <t>450JYY</t>
  </si>
  <si>
    <t>CASTRO</t>
  </si>
  <si>
    <t>EDUARDO RENE Salta</t>
  </si>
  <si>
    <t>JEQ053</t>
  </si>
  <si>
    <t>JOSE ANTONIO</t>
  </si>
  <si>
    <t>AJP156</t>
  </si>
  <si>
    <t xml:space="preserve">CASTRO </t>
  </si>
  <si>
    <t>AMQ500</t>
  </si>
  <si>
    <t>CAVIA</t>
  </si>
  <si>
    <t>RAMON HECTOR</t>
  </si>
  <si>
    <t>UQI733</t>
  </si>
  <si>
    <t>CEBALLOS</t>
  </si>
  <si>
    <t>KTO074</t>
  </si>
  <si>
    <t>CEJAS</t>
  </si>
  <si>
    <t>CRISTIAN ROBERTO</t>
  </si>
  <si>
    <t>UWD051</t>
  </si>
  <si>
    <t>ALEXIS FRANCISCO</t>
  </si>
  <si>
    <t>RQC470</t>
  </si>
  <si>
    <t>CEPEDA</t>
  </si>
  <si>
    <t>HUMBERTO GABRIEL</t>
  </si>
  <si>
    <t>CTC615</t>
  </si>
  <si>
    <t>CERVIÑO</t>
  </si>
  <si>
    <t>ALEXIS LEONEL</t>
  </si>
  <si>
    <t>CDW767</t>
  </si>
  <si>
    <t>CHAMORRO</t>
  </si>
  <si>
    <t>RICARDO DAVID</t>
  </si>
  <si>
    <t>NTR470</t>
  </si>
  <si>
    <t>CHAMORRO AQUINO</t>
  </si>
  <si>
    <t>WALTER</t>
  </si>
  <si>
    <t>SUQ146</t>
  </si>
  <si>
    <t>CHARIANO</t>
  </si>
  <si>
    <t>LEONARDO GABRIEL</t>
  </si>
  <si>
    <t>CVO381</t>
  </si>
  <si>
    <t>CHAVEZ</t>
  </si>
  <si>
    <t>EVER</t>
  </si>
  <si>
    <t>EPK213</t>
  </si>
  <si>
    <t>CHAZARRETA</t>
  </si>
  <si>
    <t>LUIS DARIO</t>
  </si>
  <si>
    <t>CUH549</t>
  </si>
  <si>
    <t>Chazarreta</t>
  </si>
  <si>
    <t>Florencia Rocio Lujan</t>
  </si>
  <si>
    <t>CSM316</t>
  </si>
  <si>
    <t>CHIAVA</t>
  </si>
  <si>
    <t>PABLO HERNAN</t>
  </si>
  <si>
    <t>BPS634</t>
  </si>
  <si>
    <t>CHIRICO</t>
  </si>
  <si>
    <t>DIAZ JUAN MANUEL A.</t>
  </si>
  <si>
    <t>491LJW</t>
  </si>
  <si>
    <t>CHOCOBAR</t>
  </si>
  <si>
    <t>JAVIER DELFIN</t>
  </si>
  <si>
    <t>SSJ485</t>
  </si>
  <si>
    <t>CHOQUE</t>
  </si>
  <si>
    <t>MANUEL LORENZO</t>
  </si>
  <si>
    <t>UIM816</t>
  </si>
  <si>
    <t>CHUMBO</t>
  </si>
  <si>
    <t>MARCELO DIONISIO</t>
  </si>
  <si>
    <t>EQX120</t>
  </si>
  <si>
    <t>CISNEROS</t>
  </si>
  <si>
    <t>BRANDON AARON ALEXANDER</t>
  </si>
  <si>
    <t>RJE730</t>
  </si>
  <si>
    <t>CSG293</t>
  </si>
  <si>
    <t>COCA POLO</t>
  </si>
  <si>
    <t>EDWIN GASTON</t>
  </si>
  <si>
    <t>IOD564</t>
  </si>
  <si>
    <t>COLOCA</t>
  </si>
  <si>
    <t>ANTONIO HECTOR</t>
  </si>
  <si>
    <t>SPC669</t>
  </si>
  <si>
    <t>COLOROSO</t>
  </si>
  <si>
    <t xml:space="preserve">PABLO ALEJANDRO </t>
  </si>
  <si>
    <t>BZK367</t>
  </si>
  <si>
    <t>CONDORI POTOSI</t>
  </si>
  <si>
    <t>OSX025</t>
  </si>
  <si>
    <t>CONDUCHI</t>
  </si>
  <si>
    <t>ESTEBAN DANIEL</t>
  </si>
  <si>
    <t>CPH024</t>
  </si>
  <si>
    <t>CONTRERA</t>
  </si>
  <si>
    <t>NVK396</t>
  </si>
  <si>
    <t>C+</t>
  </si>
  <si>
    <t>JOSEFA GLADIS</t>
  </si>
  <si>
    <t>BQV693</t>
  </si>
  <si>
    <t>CONTRERAS</t>
  </si>
  <si>
    <t>MICAELA JAQUELINE</t>
  </si>
  <si>
    <t>DMC581</t>
  </si>
  <si>
    <t>CORBALAN</t>
  </si>
  <si>
    <t>VICTOR OSVALDO</t>
  </si>
  <si>
    <t>DYQ600</t>
  </si>
  <si>
    <t>CORDARY</t>
  </si>
  <si>
    <t>CDM971</t>
  </si>
  <si>
    <t>CORDERO</t>
  </si>
  <si>
    <t xml:space="preserve">WALTER ALBERTO </t>
  </si>
  <si>
    <t>CPM286</t>
  </si>
  <si>
    <t>CORDOBA</t>
  </si>
  <si>
    <t xml:space="preserve">MARIANO SEBASTIAN </t>
  </si>
  <si>
    <t>DDC962</t>
  </si>
  <si>
    <t>CORDOBES</t>
  </si>
  <si>
    <t>ARCE PAULINA</t>
  </si>
  <si>
    <t>ITW991</t>
  </si>
  <si>
    <t>CORIA</t>
  </si>
  <si>
    <t>DARIO NICOLAS</t>
  </si>
  <si>
    <t>CDT517</t>
  </si>
  <si>
    <t>FLORENCIA MAGALI</t>
  </si>
  <si>
    <t>JEN126</t>
  </si>
  <si>
    <t>JUAN SEBASTIAN</t>
  </si>
  <si>
    <t>EXW736</t>
  </si>
  <si>
    <t>CORONADO</t>
  </si>
  <si>
    <t>MAURO AGUSTIN</t>
  </si>
  <si>
    <t>PJL378</t>
  </si>
  <si>
    <t>CORONEL</t>
  </si>
  <si>
    <t>JOSE MANUEL</t>
  </si>
  <si>
    <t>UGU115</t>
  </si>
  <si>
    <t>HECTOR DANIEL</t>
  </si>
  <si>
    <t>SKB318</t>
  </si>
  <si>
    <t>CORONEL LOVERA</t>
  </si>
  <si>
    <t>EVER DAMIAN</t>
  </si>
  <si>
    <t>A181LMD</t>
  </si>
  <si>
    <t>CORREA</t>
  </si>
  <si>
    <t xml:space="preserve"> MARCOS HECTOR</t>
  </si>
  <si>
    <t>AC322MV</t>
  </si>
  <si>
    <t>LUIS KEVIN</t>
  </si>
  <si>
    <t>WYR338</t>
  </si>
  <si>
    <t>PEDRO ALFREDO</t>
  </si>
  <si>
    <t>DGT076</t>
  </si>
  <si>
    <t>DYLAN EZEQUIEL</t>
  </si>
  <si>
    <t>XEP953</t>
  </si>
  <si>
    <t>CORTELLA</t>
  </si>
  <si>
    <t>JORGE RICARDO</t>
  </si>
  <si>
    <t>BED668</t>
  </si>
  <si>
    <t>CORTEZ</t>
  </si>
  <si>
    <t>DAVID ALEJANDRO</t>
  </si>
  <si>
    <t>HUU970</t>
  </si>
  <si>
    <t>CORVALAN</t>
  </si>
  <si>
    <t>ALBERTO DANIEL</t>
  </si>
  <si>
    <t>IFX689</t>
  </si>
  <si>
    <t>SABRINA LORENA</t>
  </si>
  <si>
    <t>NKP178</t>
  </si>
  <si>
    <t>CRIMI</t>
  </si>
  <si>
    <t>GASTON MAXIMILIANO</t>
  </si>
  <si>
    <t>LDX384</t>
  </si>
  <si>
    <t>SUI824</t>
  </si>
  <si>
    <t>CRISTALDO</t>
  </si>
  <si>
    <t>RAMON DARIO</t>
  </si>
  <si>
    <t>AD038NJ</t>
  </si>
  <si>
    <t>CUELLAR</t>
  </si>
  <si>
    <t>HECTOR DE JESUS</t>
  </si>
  <si>
    <t>BML975</t>
  </si>
  <si>
    <t>FERNANDO RAMON</t>
  </si>
  <si>
    <t>SPU678</t>
  </si>
  <si>
    <t>CUELLO</t>
  </si>
  <si>
    <t>RAUL TOMAS</t>
  </si>
  <si>
    <t>DKV507</t>
  </si>
  <si>
    <t>CUEVA</t>
  </si>
  <si>
    <t>FABIO GABRIEL</t>
  </si>
  <si>
    <t>SHW120</t>
  </si>
  <si>
    <t>CUEVAS</t>
  </si>
  <si>
    <t>VALENTINA VIOLETA</t>
  </si>
  <si>
    <t>EIX667</t>
  </si>
  <si>
    <t>CUFRE</t>
  </si>
  <si>
    <t>MARIA OFELIA</t>
  </si>
  <si>
    <t>HQV743</t>
  </si>
  <si>
    <t>CUNA</t>
  </si>
  <si>
    <t>CUTTIER</t>
  </si>
  <si>
    <t>AHARON GABRIEL</t>
  </si>
  <si>
    <t>RON231</t>
  </si>
  <si>
    <t>DA CONCEIÇÄO</t>
  </si>
  <si>
    <t>BERNARDO OSCAR</t>
  </si>
  <si>
    <t>LIV531</t>
  </si>
  <si>
    <t>SQI482</t>
  </si>
  <si>
    <t xml:space="preserve">DA SILVA </t>
  </si>
  <si>
    <t>AC212YT</t>
  </si>
  <si>
    <t>DABUSTO</t>
  </si>
  <si>
    <t>SECUNDIO DANIEL</t>
  </si>
  <si>
    <t>VLR072</t>
  </si>
  <si>
    <t>DACUY</t>
  </si>
  <si>
    <t>DANIEL LEONARDO</t>
  </si>
  <si>
    <t>TIJ101</t>
  </si>
  <si>
    <t xml:space="preserve">D'AGOSTINO </t>
  </si>
  <si>
    <t>CARLOS ALFREDO</t>
  </si>
  <si>
    <t>HIN236</t>
  </si>
  <si>
    <t>DANZA</t>
  </si>
  <si>
    <t>SAMUEL DANIEL</t>
  </si>
  <si>
    <t>JRF602</t>
  </si>
  <si>
    <t>HECTOR GABRIEL</t>
  </si>
  <si>
    <t>EGT016</t>
  </si>
  <si>
    <t>DAZA</t>
  </si>
  <si>
    <t>WALTER FELIX</t>
  </si>
  <si>
    <t>LXE698</t>
  </si>
  <si>
    <t>DE LIMA COMAS</t>
  </si>
  <si>
    <t>RAMON MATIAS</t>
  </si>
  <si>
    <t>GOS716</t>
  </si>
  <si>
    <t>DE PAULA</t>
  </si>
  <si>
    <t>KEVIN DANIEL</t>
  </si>
  <si>
    <t>SLH904</t>
  </si>
  <si>
    <t>CLAUDIO DARIO</t>
  </si>
  <si>
    <t>ARN003</t>
  </si>
  <si>
    <t>GERARDO DANIEL</t>
  </si>
  <si>
    <t>BFG719</t>
  </si>
  <si>
    <t>TJK810</t>
  </si>
  <si>
    <t xml:space="preserve">DE SAN FRANCISCO </t>
  </si>
  <si>
    <t>LUCAS FERNANDO</t>
  </si>
  <si>
    <t>APS277</t>
  </si>
  <si>
    <t>DEABATO</t>
  </si>
  <si>
    <t>OSVALDO RUBEN</t>
  </si>
  <si>
    <t>TOC254</t>
  </si>
  <si>
    <t>DELGADO</t>
  </si>
  <si>
    <t>SEBASTIAN DIEGO HERNAN</t>
  </si>
  <si>
    <t>AD991YL</t>
  </si>
  <si>
    <t>DELLAGIOVANNA</t>
  </si>
  <si>
    <t>FELIX</t>
  </si>
  <si>
    <t>DLQ939</t>
  </si>
  <si>
    <t>DENIS</t>
  </si>
  <si>
    <t>ALQ520</t>
  </si>
  <si>
    <t>DERITO</t>
  </si>
  <si>
    <t>ANDRES ADOLFO</t>
  </si>
  <si>
    <t>XDV438</t>
  </si>
  <si>
    <t>DI MARCO</t>
  </si>
  <si>
    <t>JUC421</t>
  </si>
  <si>
    <t>DIAZ</t>
  </si>
  <si>
    <t>LEONARDO RUBEN</t>
  </si>
  <si>
    <t>HTM790</t>
  </si>
  <si>
    <t>RAMON DE MARIA</t>
  </si>
  <si>
    <t>ITL582</t>
  </si>
  <si>
    <t>CRISTIAN OMAR</t>
  </si>
  <si>
    <t>SMZ818</t>
  </si>
  <si>
    <t>DIEGO ARMANDO</t>
  </si>
  <si>
    <t>GYL655</t>
  </si>
  <si>
    <t>CLARA GISELA</t>
  </si>
  <si>
    <t>VVC846</t>
  </si>
  <si>
    <t>JULIO FRANCISCO</t>
  </si>
  <si>
    <t>VFJ902</t>
  </si>
  <si>
    <t>TVE811</t>
  </si>
  <si>
    <t>GERMAN NICOLAS</t>
  </si>
  <si>
    <t>248GJK</t>
  </si>
  <si>
    <t>JPZ572</t>
  </si>
  <si>
    <t>ESTEBAN GASTON</t>
  </si>
  <si>
    <t>AIG698</t>
  </si>
  <si>
    <t>EZEQUIEL</t>
  </si>
  <si>
    <t>DBB541</t>
  </si>
  <si>
    <t>HUF562</t>
  </si>
  <si>
    <t>SLS763</t>
  </si>
  <si>
    <t>DIAZ REYES</t>
  </si>
  <si>
    <t>LORENA EDITH</t>
  </si>
  <si>
    <t>CCO548</t>
  </si>
  <si>
    <t>DIHARSE</t>
  </si>
  <si>
    <t>CLAUDIO MANUEL</t>
  </si>
  <si>
    <t>AMY579</t>
  </si>
  <si>
    <t>DOMINGUEZ</t>
  </si>
  <si>
    <t>SEBASTIAN DANIEL</t>
  </si>
  <si>
    <t>ENZ998</t>
  </si>
  <si>
    <t>DSC984</t>
  </si>
  <si>
    <t>PEDRO ALBERTO</t>
  </si>
  <si>
    <t>¿¿¿</t>
  </si>
  <si>
    <t>SLR377</t>
  </si>
  <si>
    <t>RODRIGO DANIEL</t>
  </si>
  <si>
    <t>CPX847</t>
  </si>
  <si>
    <t>WALTER EDUARDO</t>
  </si>
  <si>
    <t>A081TRV</t>
  </si>
  <si>
    <t xml:space="preserve">DONZELLI </t>
  </si>
  <si>
    <t xml:space="preserve">GASTON ARIEL </t>
  </si>
  <si>
    <t>RSL667</t>
  </si>
  <si>
    <t>DARIO ISRAEL</t>
  </si>
  <si>
    <t>SYC147</t>
  </si>
  <si>
    <t>DOS REIS</t>
  </si>
  <si>
    <t>CLAUDIO MARCELO</t>
  </si>
  <si>
    <t>IXM941</t>
  </si>
  <si>
    <t>CQS040</t>
  </si>
  <si>
    <t>DUARTE</t>
  </si>
  <si>
    <t>DAMIAN EMANUEL</t>
  </si>
  <si>
    <t>WEV608</t>
  </si>
  <si>
    <t>DUARTE GONZALEZ</t>
  </si>
  <si>
    <t>WALTER DARIO</t>
  </si>
  <si>
    <t>KKD673</t>
  </si>
  <si>
    <t>DUARTE NARANJO</t>
  </si>
  <si>
    <t>JHON FREDY</t>
  </si>
  <si>
    <t>WAW973</t>
  </si>
  <si>
    <t>940JDM</t>
  </si>
  <si>
    <t>ECHEGARAY</t>
  </si>
  <si>
    <t>MARIO CESAR</t>
  </si>
  <si>
    <t>MZD499</t>
  </si>
  <si>
    <t>FERNANDO RODOLFO AGUSTIN</t>
  </si>
  <si>
    <t>LVQ711</t>
  </si>
  <si>
    <t>ECHEVARRIA</t>
  </si>
  <si>
    <t>PAULO LAUTARO</t>
  </si>
  <si>
    <t>BYW567</t>
  </si>
  <si>
    <t>ENCINA</t>
  </si>
  <si>
    <t>EVELIO</t>
  </si>
  <si>
    <t>EON157</t>
  </si>
  <si>
    <t>ENRIQUEZ</t>
  </si>
  <si>
    <t>JUAN DOMINGO</t>
  </si>
  <si>
    <t>TIC930</t>
  </si>
  <si>
    <t>ERAZO</t>
  </si>
  <si>
    <t>ROBERTO EDUARDO</t>
  </si>
  <si>
    <t>SLY540</t>
  </si>
  <si>
    <t>ESCALANTE</t>
  </si>
  <si>
    <t>ANDRES LUCIANO</t>
  </si>
  <si>
    <t>UHZ160</t>
  </si>
  <si>
    <t>OSMAR LUIS</t>
  </si>
  <si>
    <t>TFT624</t>
  </si>
  <si>
    <t>ESCOBAR</t>
  </si>
  <si>
    <t>ANIBAL</t>
  </si>
  <si>
    <t>SDK585</t>
  </si>
  <si>
    <t>22/10/20224</t>
  </si>
  <si>
    <t>MARINA ALEJANDRA</t>
  </si>
  <si>
    <t>SCN209</t>
  </si>
  <si>
    <t>JORGE ALBERTO</t>
  </si>
  <si>
    <t>101RRH671</t>
  </si>
  <si>
    <t>RRH671</t>
  </si>
  <si>
    <t>ESCUDERO</t>
  </si>
  <si>
    <t>FERNANDO GABRIEL</t>
  </si>
  <si>
    <t>HNB195</t>
  </si>
  <si>
    <t>ESPINDOLA BORDON</t>
  </si>
  <si>
    <t>VALERIANO</t>
  </si>
  <si>
    <t>PQB198</t>
  </si>
  <si>
    <t>ESPINOSA</t>
  </si>
  <si>
    <t>MATIAS EMANUEL</t>
  </si>
  <si>
    <t>772KMX</t>
  </si>
  <si>
    <t>ESQUIVEL</t>
  </si>
  <si>
    <t>BUA555</t>
  </si>
  <si>
    <t>MERCEDES CAROLINA</t>
  </si>
  <si>
    <t>KOM757</t>
  </si>
  <si>
    <t>AGUSTIN EZEQUIEL</t>
  </si>
  <si>
    <t>UBZ487</t>
  </si>
  <si>
    <t>ESTIGARRIBIA</t>
  </si>
  <si>
    <t>ESTEBAN GABRIEL</t>
  </si>
  <si>
    <t>AKA004</t>
  </si>
  <si>
    <t xml:space="preserve">FALCON </t>
  </si>
  <si>
    <t>SFH627</t>
  </si>
  <si>
    <t>FALK</t>
  </si>
  <si>
    <t>ALAN</t>
  </si>
  <si>
    <t>FBJ185</t>
  </si>
  <si>
    <t>FARIAS</t>
  </si>
  <si>
    <t>UXP033</t>
  </si>
  <si>
    <t>CARLOS AGUSTO</t>
  </si>
  <si>
    <t>TFF926</t>
  </si>
  <si>
    <t>FARIÑA</t>
  </si>
  <si>
    <t>ANGEL MANUEL</t>
  </si>
  <si>
    <t>AEV964</t>
  </si>
  <si>
    <t>FERNANDEZ</t>
  </si>
  <si>
    <t>HPM572</t>
  </si>
  <si>
    <t>RAFAEL GUSTAVO</t>
  </si>
  <si>
    <t>FHY861</t>
  </si>
  <si>
    <t>JUAN EMANUEL</t>
  </si>
  <si>
    <t>SFK491</t>
  </si>
  <si>
    <t>ANDREA VERONICA</t>
  </si>
  <si>
    <t>JOK853</t>
  </si>
  <si>
    <t>PABLO DAMIAN</t>
  </si>
  <si>
    <t>ETB090</t>
  </si>
  <si>
    <t>RVM215</t>
  </si>
  <si>
    <t>GUSTAVO ARIEL</t>
  </si>
  <si>
    <t>WLC831</t>
  </si>
  <si>
    <t>LUIS ALBERTO</t>
  </si>
  <si>
    <t>AUJ280</t>
  </si>
  <si>
    <t>MARCELO ALBERTO</t>
  </si>
  <si>
    <t>TGL562</t>
  </si>
  <si>
    <t>AOE892</t>
  </si>
  <si>
    <t>WALTER JAVIER</t>
  </si>
  <si>
    <t>CRW907</t>
  </si>
  <si>
    <t>GUILLERMO OMAR</t>
  </si>
  <si>
    <t>GBL953</t>
  </si>
  <si>
    <t>EDUARDO DOLORES</t>
  </si>
  <si>
    <t>SHF533</t>
  </si>
  <si>
    <t>FERNANDEZ BEGGINI</t>
  </si>
  <si>
    <t>MARIA CRISTINA</t>
  </si>
  <si>
    <t>siniestro</t>
  </si>
  <si>
    <t>TGH341</t>
  </si>
  <si>
    <t>Fernandez Gomez</t>
  </si>
  <si>
    <t>Julio Cesar</t>
  </si>
  <si>
    <t>RVH819</t>
  </si>
  <si>
    <t>FERNANDEZ RODRIGUEZ</t>
  </si>
  <si>
    <t>CRISTIAN FERNANDO</t>
  </si>
  <si>
    <t>EHY198</t>
  </si>
  <si>
    <t>FERNANDEZ ZAYAS</t>
  </si>
  <si>
    <t>FREDY</t>
  </si>
  <si>
    <t>TGL219</t>
  </si>
  <si>
    <t>FERRADAS</t>
  </si>
  <si>
    <t>JUAN MANUEL</t>
  </si>
  <si>
    <t>ITP600</t>
  </si>
  <si>
    <t>FERRARO</t>
  </si>
  <si>
    <t>MARCOS</t>
  </si>
  <si>
    <t>WJG033</t>
  </si>
  <si>
    <t>RUBEN DARIO</t>
  </si>
  <si>
    <t>SEQ177</t>
  </si>
  <si>
    <t xml:space="preserve">FERREIRA ROJAS </t>
  </si>
  <si>
    <t>RODDY ANDRES</t>
  </si>
  <si>
    <t>EKB326</t>
  </si>
  <si>
    <t>FERREYRA</t>
  </si>
  <si>
    <t>PEDRO IGNCIO</t>
  </si>
  <si>
    <t>HPS290</t>
  </si>
  <si>
    <t>SINIESTRO</t>
  </si>
  <si>
    <t>TPC051</t>
  </si>
  <si>
    <t>NORBERTO DOMINGO</t>
  </si>
  <si>
    <t>DEC237</t>
  </si>
  <si>
    <t>FACUNDO ADRIAN</t>
  </si>
  <si>
    <t>GMK584</t>
  </si>
  <si>
    <t xml:space="preserve">FERREYRA </t>
  </si>
  <si>
    <t>DIEGO JAVIER</t>
  </si>
  <si>
    <t>751JOW</t>
  </si>
  <si>
    <t>RPU859</t>
  </si>
  <si>
    <t>GONZALO DARIO</t>
  </si>
  <si>
    <t>AMD572</t>
  </si>
  <si>
    <t>FIDALGO</t>
  </si>
  <si>
    <t>OSCAR ALBERTO</t>
  </si>
  <si>
    <t>CCJ054</t>
  </si>
  <si>
    <t>FIGUEREDO</t>
  </si>
  <si>
    <t>VIRGILIO DE LOS SANTOS</t>
  </si>
  <si>
    <t>099LKG</t>
  </si>
  <si>
    <t>Figueredo</t>
  </si>
  <si>
    <t xml:space="preserve">Lucas Daniel </t>
  </si>
  <si>
    <t>HPS401</t>
  </si>
  <si>
    <t>FIGUEREDO SANCHEZ</t>
  </si>
  <si>
    <t>BLAS JUNIOR</t>
  </si>
  <si>
    <t>SMV887</t>
  </si>
  <si>
    <t>FIGUEROA</t>
  </si>
  <si>
    <t>JOHANNA ELIZABETH</t>
  </si>
  <si>
    <t>FXS663</t>
  </si>
  <si>
    <t>FLEITAS</t>
  </si>
  <si>
    <t>HECTOR RICARDO</t>
  </si>
  <si>
    <t>ILB479</t>
  </si>
  <si>
    <t>326JJB</t>
  </si>
  <si>
    <t>FLORES</t>
  </si>
  <si>
    <t>SERGIO ANTONIIO</t>
  </si>
  <si>
    <t>TRA705</t>
  </si>
  <si>
    <t>BOL578</t>
  </si>
  <si>
    <t>CARLOS DAMIAN</t>
  </si>
  <si>
    <t>EEM759</t>
  </si>
  <si>
    <t>FOA027</t>
  </si>
  <si>
    <t xml:space="preserve">FLORES </t>
  </si>
  <si>
    <t xml:space="preserve">JOSE </t>
  </si>
  <si>
    <t>ADI580</t>
  </si>
  <si>
    <t>FLORES GALLARDO</t>
  </si>
  <si>
    <t>CNL778</t>
  </si>
  <si>
    <t>FONT</t>
  </si>
  <si>
    <t>HKH795</t>
  </si>
  <si>
    <t>FORMIGO CONSTATINO</t>
  </si>
  <si>
    <t>LAUTARO DANIEL</t>
  </si>
  <si>
    <t>AQU832</t>
  </si>
  <si>
    <t>FORTUNATO</t>
  </si>
  <si>
    <t>MERCEDES ALIA ELIZABET</t>
  </si>
  <si>
    <t>BAU689</t>
  </si>
  <si>
    <t>FRANCO BOGADO</t>
  </si>
  <si>
    <t>FFY274</t>
  </si>
  <si>
    <t>FRANK</t>
  </si>
  <si>
    <t>OSCAR VICENTE</t>
  </si>
  <si>
    <t>GBI121</t>
  </si>
  <si>
    <t>FRESNADILLO</t>
  </si>
  <si>
    <t>SERGIO ALEJANDRO</t>
  </si>
  <si>
    <t>SKH969</t>
  </si>
  <si>
    <t xml:space="preserve">FRETES VILLANUEVA </t>
  </si>
  <si>
    <t>STELLA MARIS</t>
  </si>
  <si>
    <t>CRI753</t>
  </si>
  <si>
    <t>FRUTOS</t>
  </si>
  <si>
    <t>ESTEBAN</t>
  </si>
  <si>
    <t>A194EFW</t>
  </si>
  <si>
    <t>ROBO TOTAL</t>
  </si>
  <si>
    <t>FUENTES</t>
  </si>
  <si>
    <t>DANIEL ALEJANDRO</t>
  </si>
  <si>
    <t>790ISI</t>
  </si>
  <si>
    <t xml:space="preserve"> </t>
  </si>
  <si>
    <t>GAKBART</t>
  </si>
  <si>
    <t>FBN364</t>
  </si>
  <si>
    <t>GALEANO</t>
  </si>
  <si>
    <t>ARNALDO RUBEN</t>
  </si>
  <si>
    <t>A172VVN</t>
  </si>
  <si>
    <t>GALVAN</t>
  </si>
  <si>
    <t>AGUSTIN WALTER</t>
  </si>
  <si>
    <t>740HPF</t>
  </si>
  <si>
    <t>ANGEL</t>
  </si>
  <si>
    <t>CNC785</t>
  </si>
  <si>
    <t>NAHUEL EDUARDO</t>
  </si>
  <si>
    <t>CRI155</t>
  </si>
  <si>
    <t>CKH037</t>
  </si>
  <si>
    <t>GALOCHA</t>
  </si>
  <si>
    <t>GUSTAVO GABRIEL</t>
  </si>
  <si>
    <t>BAS758</t>
  </si>
  <si>
    <t>GANCIO</t>
  </si>
  <si>
    <t>GERARDO NELSON</t>
  </si>
  <si>
    <t>CAD975</t>
  </si>
  <si>
    <t>GAMARRA</t>
  </si>
  <si>
    <t>CANDIDO</t>
  </si>
  <si>
    <t>906LEI</t>
  </si>
  <si>
    <t>GAONA</t>
  </si>
  <si>
    <t>ABEL HORACIO</t>
  </si>
  <si>
    <t>RSU398</t>
  </si>
  <si>
    <t>GARAVENTA</t>
  </si>
  <si>
    <t>CRISTIAN NELSON</t>
  </si>
  <si>
    <t>TLL502</t>
  </si>
  <si>
    <t>LEONARDO DANIEL</t>
  </si>
  <si>
    <t>KCZ285</t>
  </si>
  <si>
    <t>GARCETE</t>
  </si>
  <si>
    <t>JORGE ARMANDO</t>
  </si>
  <si>
    <t>TVY149</t>
  </si>
  <si>
    <t>GARCIA</t>
  </si>
  <si>
    <t>LEANDRO GUSTAVO</t>
  </si>
  <si>
    <t>IFV823</t>
  </si>
  <si>
    <t>GUSTAVO ALFREDO</t>
  </si>
  <si>
    <t>IMP536</t>
  </si>
  <si>
    <t>CRISTIAN JESUS DAMIAN</t>
  </si>
  <si>
    <t>CBD047</t>
  </si>
  <si>
    <t>DUI726</t>
  </si>
  <si>
    <t>DANIEL ALBERTO</t>
  </si>
  <si>
    <t>UFJ125</t>
  </si>
  <si>
    <t>HFA160</t>
  </si>
  <si>
    <t>Garcia Castillo</t>
  </si>
  <si>
    <t>Alejandro Javier</t>
  </si>
  <si>
    <t>GLE457</t>
  </si>
  <si>
    <t>GARCIA MEJIA</t>
  </si>
  <si>
    <t>CONSTANTINO</t>
  </si>
  <si>
    <t>HVF212</t>
  </si>
  <si>
    <t>FRANCISCO</t>
  </si>
  <si>
    <t>OAY892</t>
  </si>
  <si>
    <t>GARCIA ROCHA</t>
  </si>
  <si>
    <t>CELESTINO</t>
  </si>
  <si>
    <t>GZR285</t>
  </si>
  <si>
    <t>GAUNA</t>
  </si>
  <si>
    <t>CARLOS ANIBAL</t>
  </si>
  <si>
    <t>A172BCT</t>
  </si>
  <si>
    <t>BSC135</t>
  </si>
  <si>
    <t xml:space="preserve">GAUNA </t>
  </si>
  <si>
    <t>JOSE HILARIO</t>
  </si>
  <si>
    <t>FYR059</t>
  </si>
  <si>
    <t>GAUTE CREVATIN</t>
  </si>
  <si>
    <t>LUCIANO NICOLAS</t>
  </si>
  <si>
    <t>AIE766</t>
  </si>
  <si>
    <t>GAVILAN CASTILLO</t>
  </si>
  <si>
    <t>TIBURCIO</t>
  </si>
  <si>
    <t>FEQ619</t>
  </si>
  <si>
    <t>GENES DOMINGUEZ</t>
  </si>
  <si>
    <t>HVZ413</t>
  </si>
  <si>
    <t>GENTILINI</t>
  </si>
  <si>
    <t>MATIAS JAVIER</t>
  </si>
  <si>
    <t>FUB270</t>
  </si>
  <si>
    <t>GEREZ</t>
  </si>
  <si>
    <t>CRISTIAN ARIEL</t>
  </si>
  <si>
    <t>UAH178</t>
  </si>
  <si>
    <t>AD091HT</t>
  </si>
  <si>
    <t>HORACIO OMAR</t>
  </si>
  <si>
    <t>BXS211</t>
  </si>
  <si>
    <t>GERVAN</t>
  </si>
  <si>
    <t>LUIS RICARDO</t>
  </si>
  <si>
    <t>EED599</t>
  </si>
  <si>
    <t>GHILARDI</t>
  </si>
  <si>
    <t>VICTOR GUSTAVO</t>
  </si>
  <si>
    <t>AA405GP</t>
  </si>
  <si>
    <t>GIAQUELLO</t>
  </si>
  <si>
    <t>CRISTIAN FABIAN</t>
  </si>
  <si>
    <t>SWH015</t>
  </si>
  <si>
    <t>GIMENES</t>
  </si>
  <si>
    <t>LUIS CARLOS</t>
  </si>
  <si>
    <t>RSO437</t>
  </si>
  <si>
    <t>GIMENEZ</t>
  </si>
  <si>
    <t xml:space="preserve">LUIS MIGUEL </t>
  </si>
  <si>
    <t>ACI302</t>
  </si>
  <si>
    <t>LUIS ROBERTO</t>
  </si>
  <si>
    <t>WJU679</t>
  </si>
  <si>
    <t xml:space="preserve">JOSE ABRAHAN </t>
  </si>
  <si>
    <t>YKI640</t>
  </si>
  <si>
    <t>OMAR CIRILO</t>
  </si>
  <si>
    <t>TVR482</t>
  </si>
  <si>
    <t>GIRA</t>
  </si>
  <si>
    <t>JOTANAN MAXIMILIANO</t>
  </si>
  <si>
    <t>AAJ066</t>
  </si>
  <si>
    <t>VFX323</t>
  </si>
  <si>
    <t>GCC213</t>
  </si>
  <si>
    <t>GODOY</t>
  </si>
  <si>
    <t>TELIO</t>
  </si>
  <si>
    <t>EZI263</t>
  </si>
  <si>
    <t>GOGOLIN</t>
  </si>
  <si>
    <t xml:space="preserve">EZEQUIEL SANTIAGO </t>
  </si>
  <si>
    <t>USF689</t>
  </si>
  <si>
    <t>GUSTAVO CRESENCIO</t>
  </si>
  <si>
    <t>DPS851</t>
  </si>
  <si>
    <t>GOMEZ</t>
  </si>
  <si>
    <t>BSY718</t>
  </si>
  <si>
    <t>DAVID EMANUEL</t>
  </si>
  <si>
    <t>SFI823</t>
  </si>
  <si>
    <t>MARIA LILIANA</t>
  </si>
  <si>
    <t>DHP258</t>
  </si>
  <si>
    <t>ANDRES</t>
  </si>
  <si>
    <t>RNN372</t>
  </si>
  <si>
    <t>MATIAS NICOLAS</t>
  </si>
  <si>
    <t>WOE497</t>
  </si>
  <si>
    <t>OOP657</t>
  </si>
  <si>
    <t>EDUARDO DAMIAN</t>
  </si>
  <si>
    <t>DOZ764</t>
  </si>
  <si>
    <t>CQG889</t>
  </si>
  <si>
    <t>AIDA MARCELO</t>
  </si>
  <si>
    <t>AOY814</t>
  </si>
  <si>
    <t>LEONARDO ROSARIO</t>
  </si>
  <si>
    <t>ROM568</t>
  </si>
  <si>
    <t xml:space="preserve">CARLOS ALBERTO </t>
  </si>
  <si>
    <t>UPZ370</t>
  </si>
  <si>
    <t>ALEX FABRICIO</t>
  </si>
  <si>
    <t>FZS236</t>
  </si>
  <si>
    <t>AXEL LEONARDO</t>
  </si>
  <si>
    <t>RZG868</t>
  </si>
  <si>
    <t>SYB729</t>
  </si>
  <si>
    <t>ROBERTO NERI</t>
  </si>
  <si>
    <t>GFD732</t>
  </si>
  <si>
    <t>DAVID ANTONIIO</t>
  </si>
  <si>
    <t>VFU555</t>
  </si>
  <si>
    <t>LEANDRO RICARDO</t>
  </si>
  <si>
    <t>USA625</t>
  </si>
  <si>
    <t>RENE ORLANDO</t>
  </si>
  <si>
    <t>CHO721</t>
  </si>
  <si>
    <t>DAMIAN ALBERTO</t>
  </si>
  <si>
    <t>GQS569</t>
  </si>
  <si>
    <t>RYR924</t>
  </si>
  <si>
    <t>DANIELA MARISOL</t>
  </si>
  <si>
    <t>GPL186</t>
  </si>
  <si>
    <t>GASTON ELISEO</t>
  </si>
  <si>
    <t>WJE756</t>
  </si>
  <si>
    <t>BRAIAN FERNANDO</t>
  </si>
  <si>
    <t>IMQ242</t>
  </si>
  <si>
    <t>VALERIA ALEJANDRA</t>
  </si>
  <si>
    <t>DFB299</t>
  </si>
  <si>
    <t>GOMEZ CARDOZO</t>
  </si>
  <si>
    <t>LUIS AURELIO</t>
  </si>
  <si>
    <t>XCF312</t>
  </si>
  <si>
    <t>GOMEZ DA SILVA</t>
  </si>
  <si>
    <t>WALTER MARTIN</t>
  </si>
  <si>
    <t>TMF089</t>
  </si>
  <si>
    <t>UKS922</t>
  </si>
  <si>
    <t>GONZALEZ</t>
  </si>
  <si>
    <t>JORGE EDUARDO</t>
  </si>
  <si>
    <t>RCI128</t>
  </si>
  <si>
    <t>ALEJANDRO MARTIN</t>
  </si>
  <si>
    <t>SXD100</t>
  </si>
  <si>
    <t>DANIEL ADRIAN</t>
  </si>
  <si>
    <t>LZW531</t>
  </si>
  <si>
    <t>DIEGO ABEL</t>
  </si>
  <si>
    <t>CHL076</t>
  </si>
  <si>
    <t>CHRISTIAN DAVID</t>
  </si>
  <si>
    <t>EAG457</t>
  </si>
  <si>
    <t>JAVIER HUMBERTO</t>
  </si>
  <si>
    <t>AA391FB</t>
  </si>
  <si>
    <t>FABIOLA</t>
  </si>
  <si>
    <t>AE330PU</t>
  </si>
  <si>
    <t>DIEGO NAHUEL</t>
  </si>
  <si>
    <t>FLA716</t>
  </si>
  <si>
    <t>MARCELO JORGE A</t>
  </si>
  <si>
    <t>FCB045</t>
  </si>
  <si>
    <t>MIRNA DOLORES</t>
  </si>
  <si>
    <t>AC143XK</t>
  </si>
  <si>
    <t>SERGIO JAVIER</t>
  </si>
  <si>
    <t>KTO405</t>
  </si>
  <si>
    <t xml:space="preserve">MARCELO DANIEL </t>
  </si>
  <si>
    <t>LUD552</t>
  </si>
  <si>
    <t>MNQ644</t>
  </si>
  <si>
    <t>DIEGO MAXIMILIANO</t>
  </si>
  <si>
    <t>WEJ139</t>
  </si>
  <si>
    <t xml:space="preserve">  </t>
  </si>
  <si>
    <t>MARTINES ASTERIO</t>
  </si>
  <si>
    <t>ARR047</t>
  </si>
  <si>
    <t>HUGO MARCELO</t>
  </si>
  <si>
    <t>SAL539</t>
  </si>
  <si>
    <t xml:space="preserve">LUCAS EZEQUIEL </t>
  </si>
  <si>
    <t>NBJ444</t>
  </si>
  <si>
    <t>IGNACIO RAMON</t>
  </si>
  <si>
    <t>WAV048</t>
  </si>
  <si>
    <t>CRISTIAN GABRIEL</t>
  </si>
  <si>
    <t>RKO024</t>
  </si>
  <si>
    <t>BBY964</t>
  </si>
  <si>
    <t xml:space="preserve">MANUEL ENRIQUE </t>
  </si>
  <si>
    <t>HJK960</t>
  </si>
  <si>
    <t xml:space="preserve"> AGUSTIN ANTONIO</t>
  </si>
  <si>
    <t>XIJ159</t>
  </si>
  <si>
    <t>ADRIEL</t>
  </si>
  <si>
    <t>FVZ076</t>
  </si>
  <si>
    <t xml:space="preserve">GONZALEZ </t>
  </si>
  <si>
    <t>FLORENCIO</t>
  </si>
  <si>
    <t>INS280</t>
  </si>
  <si>
    <t xml:space="preserve">FABIOLA JUDITH </t>
  </si>
  <si>
    <t>GONZALEZ FARIAS</t>
  </si>
  <si>
    <t>TAL002</t>
  </si>
  <si>
    <t>GOROSITO</t>
  </si>
  <si>
    <t>ALDO LEONOR</t>
  </si>
  <si>
    <t>ODB482</t>
  </si>
  <si>
    <t>TWF971</t>
  </si>
  <si>
    <t>GRISOLIA</t>
  </si>
  <si>
    <t>LUCA IGNACIO</t>
  </si>
  <si>
    <t>CTK763</t>
  </si>
  <si>
    <t>GROSSO</t>
  </si>
  <si>
    <t>VERONICA ROMINA</t>
  </si>
  <si>
    <t>PAT851</t>
  </si>
  <si>
    <t>GUILLERMO</t>
  </si>
  <si>
    <t>OMAR LOPEZ</t>
  </si>
  <si>
    <t>LHG740</t>
  </si>
  <si>
    <t>GUIÑAZU</t>
  </si>
  <si>
    <t>TEY564</t>
  </si>
  <si>
    <t>GUTIERREZ</t>
  </si>
  <si>
    <t>CKE721</t>
  </si>
  <si>
    <t>GUTIERREZ LLANOS</t>
  </si>
  <si>
    <t>FIDEL</t>
  </si>
  <si>
    <t>CJU666</t>
  </si>
  <si>
    <t>GUZMAN</t>
  </si>
  <si>
    <t>RUBEN</t>
  </si>
  <si>
    <t>JFT020</t>
  </si>
  <si>
    <t>RUBEN OSVALDO</t>
  </si>
  <si>
    <t>SQL810</t>
  </si>
  <si>
    <t>HEREDIA</t>
  </si>
  <si>
    <t>CRISTIAN RAMON</t>
  </si>
  <si>
    <t>FC050</t>
  </si>
  <si>
    <t>HEREÑU</t>
  </si>
  <si>
    <t>LAUTARO EZEQUIEL</t>
  </si>
  <si>
    <t>PHY538</t>
  </si>
  <si>
    <t>HERMIDA</t>
  </si>
  <si>
    <t>ANTONIO VICENTE</t>
  </si>
  <si>
    <t>ANI441</t>
  </si>
  <si>
    <t>HERNANDEZ</t>
  </si>
  <si>
    <t>GERARDO SEBASTIAN</t>
  </si>
  <si>
    <t>SIV323</t>
  </si>
  <si>
    <t>GIP057</t>
  </si>
  <si>
    <t>INO980</t>
  </si>
  <si>
    <t>HERNANDEZ GARCIA</t>
  </si>
  <si>
    <t>ABIGUEL SAMIR</t>
  </si>
  <si>
    <t>SBC265</t>
  </si>
  <si>
    <t>HERRERA</t>
  </si>
  <si>
    <t>CRISTIAN LEANDRO</t>
  </si>
  <si>
    <t>BWF372</t>
  </si>
  <si>
    <t>CARLOS RODRIGO</t>
  </si>
  <si>
    <t>NHR802</t>
  </si>
  <si>
    <t>WEN510</t>
  </si>
  <si>
    <t>HERRERIA</t>
  </si>
  <si>
    <t>SEBASTIAN JOSSE</t>
  </si>
  <si>
    <t>SDT114</t>
  </si>
  <si>
    <t>HERRO</t>
  </si>
  <si>
    <t>BEZ330</t>
  </si>
  <si>
    <t>ROBERTO</t>
  </si>
  <si>
    <t>CZJ881</t>
  </si>
  <si>
    <t>HIDALGO</t>
  </si>
  <si>
    <t>NAHUEL</t>
  </si>
  <si>
    <t>SDY605</t>
  </si>
  <si>
    <t>HILDEBRANDT</t>
  </si>
  <si>
    <t>ELIZABETH SUSANA</t>
  </si>
  <si>
    <t>CQE648</t>
  </si>
  <si>
    <t xml:space="preserve">HILDEBRANDT </t>
  </si>
  <si>
    <t>RAMON EDUARDO</t>
  </si>
  <si>
    <t>FKG462</t>
  </si>
  <si>
    <t>IBALO</t>
  </si>
  <si>
    <t>VGS517</t>
  </si>
  <si>
    <t>BDU646</t>
  </si>
  <si>
    <t>IBAÑEZ</t>
  </si>
  <si>
    <t>RUBEN FAUSTO</t>
  </si>
  <si>
    <t>DKI123</t>
  </si>
  <si>
    <t>RUBEN MAXIMILIANO</t>
  </si>
  <si>
    <t>ALAN NICOLAS</t>
  </si>
  <si>
    <t>IXG682</t>
  </si>
  <si>
    <t>A092QKR</t>
  </si>
  <si>
    <t>ANGEL SANTIAG</t>
  </si>
  <si>
    <t>AWK877</t>
  </si>
  <si>
    <t>IBARRA</t>
  </si>
  <si>
    <t>RAUL ARMANDO</t>
  </si>
  <si>
    <t>CIO001</t>
  </si>
  <si>
    <t>LEANDRO SEBASTIAN</t>
  </si>
  <si>
    <t>194JCO</t>
  </si>
  <si>
    <t>IMAZ</t>
  </si>
  <si>
    <t>EDGARDO DANIEL</t>
  </si>
  <si>
    <t>DPY542</t>
  </si>
  <si>
    <t>INGAS</t>
  </si>
  <si>
    <t>ACX207</t>
  </si>
  <si>
    <t>HORACIO GASTON</t>
  </si>
  <si>
    <t>ADA339</t>
  </si>
  <si>
    <t>IÑIGUEZ</t>
  </si>
  <si>
    <t>GONZALO ANDRES</t>
  </si>
  <si>
    <t>TEZ833</t>
  </si>
  <si>
    <t>MAXIMILIANO RICARDO</t>
  </si>
  <si>
    <t>SBB971</t>
  </si>
  <si>
    <t>IPOLITO</t>
  </si>
  <si>
    <t>GABRIEL ABEL</t>
  </si>
  <si>
    <t>BEM702</t>
  </si>
  <si>
    <t>LLP254</t>
  </si>
  <si>
    <t>FRL100</t>
  </si>
  <si>
    <t>A211JKQ</t>
  </si>
  <si>
    <t>IUORIO</t>
  </si>
  <si>
    <t>NESTOR FABIO</t>
  </si>
  <si>
    <t>TSJ798</t>
  </si>
  <si>
    <t>JAIME</t>
  </si>
  <si>
    <t>CQS088</t>
  </si>
  <si>
    <t>JARA</t>
  </si>
  <si>
    <t>ZARAGOZA JORGE</t>
  </si>
  <si>
    <t>JWV332</t>
  </si>
  <si>
    <t>JAUREGUIBERRY</t>
  </si>
  <si>
    <t>MIGUEL LAURENCE</t>
  </si>
  <si>
    <t>CMP095</t>
  </si>
  <si>
    <t>JIMENEZ</t>
  </si>
  <si>
    <t>ROQUE ELIAS</t>
  </si>
  <si>
    <t>VNO565</t>
  </si>
  <si>
    <t>JIMENEZ PAHUASI</t>
  </si>
  <si>
    <t>FANOR</t>
  </si>
  <si>
    <t>ZEC650</t>
  </si>
  <si>
    <t>JIMENEZ PAHUASIN</t>
  </si>
  <si>
    <t>ICC650</t>
  </si>
  <si>
    <t>JUAREZ</t>
  </si>
  <si>
    <t>JTY922</t>
  </si>
  <si>
    <t>VERONICA ANALIA</t>
  </si>
  <si>
    <t>IGN523</t>
  </si>
  <si>
    <t>HECTOR LAZARO</t>
  </si>
  <si>
    <t>NSM826</t>
  </si>
  <si>
    <t>JUAREZ CHOQUE</t>
  </si>
  <si>
    <t>TIMOTEO</t>
  </si>
  <si>
    <t>EMC863</t>
  </si>
  <si>
    <t xml:space="preserve">KAMINSKI </t>
  </si>
  <si>
    <t>YAMILA ABIGAIL</t>
  </si>
  <si>
    <t>HJK211</t>
  </si>
  <si>
    <t>KELMAN</t>
  </si>
  <si>
    <t>JORGE HORACIO</t>
  </si>
  <si>
    <t>WVN667</t>
  </si>
  <si>
    <t>KELUTA</t>
  </si>
  <si>
    <t>EDUARDO ANIBAL</t>
  </si>
  <si>
    <t>USE161</t>
  </si>
  <si>
    <t>KLETTE VON KLETTENHOF</t>
  </si>
  <si>
    <t>CARLOS ENRIQUE</t>
  </si>
  <si>
    <t>VXS154</t>
  </si>
  <si>
    <t>KLOCK</t>
  </si>
  <si>
    <t>MATIAS LIONEL</t>
  </si>
  <si>
    <t>JQD499</t>
  </si>
  <si>
    <t>Kuhn</t>
  </si>
  <si>
    <t>Eduardo Ariel</t>
  </si>
  <si>
    <t>SCM374</t>
  </si>
  <si>
    <t>733JCX</t>
  </si>
  <si>
    <t>LAGARDO</t>
  </si>
  <si>
    <t>ROSANA RAQUEL</t>
  </si>
  <si>
    <t>EDT288</t>
  </si>
  <si>
    <t>LAGO</t>
  </si>
  <si>
    <t>FEDERICO</t>
  </si>
  <si>
    <t>IBM682</t>
  </si>
  <si>
    <t>LANDRIEL</t>
  </si>
  <si>
    <t>SEBASTIAN ALEJANDRO</t>
  </si>
  <si>
    <t>EKG627</t>
  </si>
  <si>
    <t>LAROCCA</t>
  </si>
  <si>
    <t>ASA723</t>
  </si>
  <si>
    <t>FRZ459</t>
  </si>
  <si>
    <t>LARRETA</t>
  </si>
  <si>
    <t>CLAUDIA MABEL</t>
  </si>
  <si>
    <t>OIF247</t>
  </si>
  <si>
    <t>LARROSA</t>
  </si>
  <si>
    <t>HUGO OSCAR</t>
  </si>
  <si>
    <t>HRR000</t>
  </si>
  <si>
    <t>LASTRA</t>
  </si>
  <si>
    <t>EHY160</t>
  </si>
  <si>
    <t>LAZARTE</t>
  </si>
  <si>
    <t>RAMON IGNACIO</t>
  </si>
  <si>
    <t>ESJ651</t>
  </si>
  <si>
    <t>LEDESMA</t>
  </si>
  <si>
    <t>DQG157</t>
  </si>
  <si>
    <t>HECTOR JUAN</t>
  </si>
  <si>
    <t>UPX711</t>
  </si>
  <si>
    <t>GABRIEL NICOLAS</t>
  </si>
  <si>
    <t>VWC343</t>
  </si>
  <si>
    <t>JUAN DANIEL</t>
  </si>
  <si>
    <t>IQA589</t>
  </si>
  <si>
    <t>VICTOR ARIEL</t>
  </si>
  <si>
    <t>VLC880</t>
  </si>
  <si>
    <t>CRJ938</t>
  </si>
  <si>
    <t>Leguizamon</t>
  </si>
  <si>
    <t>Gustavo Adolfo</t>
  </si>
  <si>
    <t>A051CFL</t>
  </si>
  <si>
    <t>LEGUIZAMON</t>
  </si>
  <si>
    <t>SILVIO ESTEBAN</t>
  </si>
  <si>
    <t>MTC896</t>
  </si>
  <si>
    <t xml:space="preserve">GUSTAVO RODOLFO </t>
  </si>
  <si>
    <t>BVP145</t>
  </si>
  <si>
    <t>XEU827</t>
  </si>
  <si>
    <t>GUSTAVO FEDERICO</t>
  </si>
  <si>
    <t>AVE152</t>
  </si>
  <si>
    <t>LEIAVA</t>
  </si>
  <si>
    <t>GUILLERMO EZEQUIEL</t>
  </si>
  <si>
    <t>VZV899</t>
  </si>
  <si>
    <t>SHT887</t>
  </si>
  <si>
    <t>LEIVA</t>
  </si>
  <si>
    <t>RAUL RAMON ERNESTO</t>
  </si>
  <si>
    <t>WAZ482</t>
  </si>
  <si>
    <t xml:space="preserve">LEIVA </t>
  </si>
  <si>
    <t>CARLOS</t>
  </si>
  <si>
    <t>VRB990</t>
  </si>
  <si>
    <t>LENCINAS</t>
  </si>
  <si>
    <t>RODOLFO MIGUEL</t>
  </si>
  <si>
    <t>UAH240</t>
  </si>
  <si>
    <t>LEON</t>
  </si>
  <si>
    <t>SDB374</t>
  </si>
  <si>
    <t>TDI586</t>
  </si>
  <si>
    <t>LEPORE</t>
  </si>
  <si>
    <t>RICARDO MIGUEL</t>
  </si>
  <si>
    <t>BSW193</t>
  </si>
  <si>
    <t>LESCANO</t>
  </si>
  <si>
    <t>RICARDO ANDRES</t>
  </si>
  <si>
    <t>CFE420</t>
  </si>
  <si>
    <t>FIH976</t>
  </si>
  <si>
    <t>HECTOR ENRIQUE</t>
  </si>
  <si>
    <t>DIA280</t>
  </si>
  <si>
    <t>VICTOR DAVID</t>
  </si>
  <si>
    <t>TGZ174</t>
  </si>
  <si>
    <t>CUL176</t>
  </si>
  <si>
    <t>LEZCANO</t>
  </si>
  <si>
    <t>PAULO IGNACIO</t>
  </si>
  <si>
    <t>LMW458</t>
  </si>
  <si>
    <t>MPY646</t>
  </si>
  <si>
    <t>LIMBER</t>
  </si>
  <si>
    <t>FRANCO VELASQUEZ</t>
  </si>
  <si>
    <t>BJK868</t>
  </si>
  <si>
    <t>LINO</t>
  </si>
  <si>
    <t>LEONARDO JAVIER</t>
  </si>
  <si>
    <t>NID755</t>
  </si>
  <si>
    <t>LIQUIN</t>
  </si>
  <si>
    <t>ANTONIIO ALEJANDRO</t>
  </si>
  <si>
    <t>FJL955</t>
  </si>
  <si>
    <t>LIZONDO</t>
  </si>
  <si>
    <t>EDUARDO AGUSTIN</t>
  </si>
  <si>
    <t>EZS130</t>
  </si>
  <si>
    <t>LLANOS</t>
  </si>
  <si>
    <t>SANDRA MONICA</t>
  </si>
  <si>
    <t>FIE923</t>
  </si>
  <si>
    <t>LOBO</t>
  </si>
  <si>
    <t>ROBERTO CECILIO</t>
  </si>
  <si>
    <t>USQ562</t>
  </si>
  <si>
    <t>MANUEL ANTONIO</t>
  </si>
  <si>
    <t>BIQ206</t>
  </si>
  <si>
    <t>LOBOS</t>
  </si>
  <si>
    <t>MARIO EDUARDO</t>
  </si>
  <si>
    <t>CBY338</t>
  </si>
  <si>
    <t>ARIEL ALFREDO</t>
  </si>
  <si>
    <t>WUH095</t>
  </si>
  <si>
    <t>DIB666</t>
  </si>
  <si>
    <t>ISF309</t>
  </si>
  <si>
    <t>LONGO</t>
  </si>
  <si>
    <t>ERNESTO ROLANDO</t>
  </si>
  <si>
    <t>MJY614</t>
  </si>
  <si>
    <t>LONGONI</t>
  </si>
  <si>
    <t>LII684</t>
  </si>
  <si>
    <t>LOPEZ</t>
  </si>
  <si>
    <t>MATIAS IGNACIO</t>
  </si>
  <si>
    <t>101XNS557</t>
  </si>
  <si>
    <t>JESUS ADRIAN</t>
  </si>
  <si>
    <t>IPH622</t>
  </si>
  <si>
    <t>MARCELO ARCELIO</t>
  </si>
  <si>
    <t>UIM040</t>
  </si>
  <si>
    <t>FERNANDO ESTEBAN</t>
  </si>
  <si>
    <t>BMR660</t>
  </si>
  <si>
    <t>JPU922</t>
  </si>
  <si>
    <t>SSR796</t>
  </si>
  <si>
    <t>LEONARDO JULIAN</t>
  </si>
  <si>
    <t>A022BSO</t>
  </si>
  <si>
    <t>AWU489</t>
  </si>
  <si>
    <t>FERNANDO HORACIO</t>
  </si>
  <si>
    <t>VBQ905</t>
  </si>
  <si>
    <t xml:space="preserve">ALEJANDRO SEBASTIAN </t>
  </si>
  <si>
    <t>SZR141</t>
  </si>
  <si>
    <t>LUIS ROQUE</t>
  </si>
  <si>
    <t>FVW573</t>
  </si>
  <si>
    <t>ADJ837</t>
  </si>
  <si>
    <t>XNS357</t>
  </si>
  <si>
    <t>RODRIGO ESTEBAN</t>
  </si>
  <si>
    <t>WOT003</t>
  </si>
  <si>
    <t>SAV125</t>
  </si>
  <si>
    <t>CEFERINO</t>
  </si>
  <si>
    <t>BWB757</t>
  </si>
  <si>
    <t>ESTEBAN IGNACIO</t>
  </si>
  <si>
    <t>VAU873</t>
  </si>
  <si>
    <t>SJU284</t>
  </si>
  <si>
    <t>SSB796</t>
  </si>
  <si>
    <t>HECTOR MARIANO</t>
  </si>
  <si>
    <t>WCD355</t>
  </si>
  <si>
    <t>GABRIEL</t>
  </si>
  <si>
    <t>UCC649</t>
  </si>
  <si>
    <t>RTS621</t>
  </si>
  <si>
    <t>LOPEZ QUISPE</t>
  </si>
  <si>
    <t>WILSON</t>
  </si>
  <si>
    <t>UOO398</t>
  </si>
  <si>
    <t>LORENZO</t>
  </si>
  <si>
    <t>GUSTAZO DAMIAN</t>
  </si>
  <si>
    <t>DNW122</t>
  </si>
  <si>
    <t>LOUREYRO</t>
  </si>
  <si>
    <t>HUGO DARIO</t>
  </si>
  <si>
    <t>ZBT499</t>
  </si>
  <si>
    <t>LOYOLA</t>
  </si>
  <si>
    <t>GONZALO OSCAR</t>
  </si>
  <si>
    <t>TNE987</t>
  </si>
  <si>
    <t>LOZANO</t>
  </si>
  <si>
    <t>JOSE PEDRO</t>
  </si>
  <si>
    <t>TXW157</t>
  </si>
  <si>
    <t>LUCERO</t>
  </si>
  <si>
    <t>ALBERTO OSCAR</t>
  </si>
  <si>
    <t>PIE387</t>
  </si>
  <si>
    <t>LUGO</t>
  </si>
  <si>
    <t>NIKIAS NICOLAS ANTONIO</t>
  </si>
  <si>
    <t>BBS514</t>
  </si>
  <si>
    <t>LUNA</t>
  </si>
  <si>
    <t>JUAN RICARDO</t>
  </si>
  <si>
    <t>WEP493</t>
  </si>
  <si>
    <t>ANALIA RAQUEL</t>
  </si>
  <si>
    <t>BJV679</t>
  </si>
  <si>
    <t>LUPO</t>
  </si>
  <si>
    <t>DANIEL NICOLAS</t>
  </si>
  <si>
    <t>DAG159</t>
  </si>
  <si>
    <t>LUQUE</t>
  </si>
  <si>
    <t>BRIAN JOEL</t>
  </si>
  <si>
    <t>DCD550</t>
  </si>
  <si>
    <t>Machado</t>
  </si>
  <si>
    <t xml:space="preserve">Miguel Angel </t>
  </si>
  <si>
    <t>MOS986</t>
  </si>
  <si>
    <t>VNL623</t>
  </si>
  <si>
    <t>MACHADO</t>
  </si>
  <si>
    <t>SILVA ANGEL JOSE</t>
  </si>
  <si>
    <t>GIQ675</t>
  </si>
  <si>
    <t>MACHADO MENDEZ</t>
  </si>
  <si>
    <t>JUAN EDUARDO</t>
  </si>
  <si>
    <t>SXO853</t>
  </si>
  <si>
    <t>MACIEL</t>
  </si>
  <si>
    <t>GRACIELA ELVIRA</t>
  </si>
  <si>
    <t>EJM966</t>
  </si>
  <si>
    <t>MAGGIO</t>
  </si>
  <si>
    <t>XEN888</t>
  </si>
  <si>
    <t>MAGUICHA</t>
  </si>
  <si>
    <t>ARG461</t>
  </si>
  <si>
    <t>MAIDANA</t>
  </si>
  <si>
    <t>LUIS EMILIO</t>
  </si>
  <si>
    <t>AEL561</t>
  </si>
  <si>
    <t>EDGARDO AMANCIO</t>
  </si>
  <si>
    <t>TGO081</t>
  </si>
  <si>
    <t>HECTOR OMAR</t>
  </si>
  <si>
    <t>DSJ249</t>
  </si>
  <si>
    <t>MAIORANA</t>
  </si>
  <si>
    <t>MARIA INES</t>
  </si>
  <si>
    <t>CTL883</t>
  </si>
  <si>
    <t>MAISON</t>
  </si>
  <si>
    <t>AKB842</t>
  </si>
  <si>
    <t>MALDONADO</t>
  </si>
  <si>
    <t>HER253</t>
  </si>
  <si>
    <t xml:space="preserve">MALDONADO </t>
  </si>
  <si>
    <t>FEDERICO OSCAR</t>
  </si>
  <si>
    <t>XAQ833</t>
  </si>
  <si>
    <t>MANGONE</t>
  </si>
  <si>
    <t>DIEGO MARTIN</t>
  </si>
  <si>
    <t xml:space="preserve">EQUIDAD </t>
  </si>
  <si>
    <t>GSD267</t>
  </si>
  <si>
    <t>MANNO</t>
  </si>
  <si>
    <t>CINTHIA LUCRECIA</t>
  </si>
  <si>
    <t>BSA041</t>
  </si>
  <si>
    <t xml:space="preserve">MANOLIO </t>
  </si>
  <si>
    <t xml:space="preserve">JOSE ANTONIO </t>
  </si>
  <si>
    <t>CLH887</t>
  </si>
  <si>
    <t>END866</t>
  </si>
  <si>
    <t>MANSILLA</t>
  </si>
  <si>
    <t>LEONARDO GASTON</t>
  </si>
  <si>
    <t>HPR596</t>
  </si>
  <si>
    <t>CCL283</t>
  </si>
  <si>
    <t xml:space="preserve">DANIEL ALEJANDRO </t>
  </si>
  <si>
    <t>BQW851</t>
  </si>
  <si>
    <t>RHV510</t>
  </si>
  <si>
    <t>MANZI</t>
  </si>
  <si>
    <t>DIW303</t>
  </si>
  <si>
    <t>MARADEI</t>
  </si>
  <si>
    <t>MICHAEL ALAN</t>
  </si>
  <si>
    <t>GYY369</t>
  </si>
  <si>
    <t>MARECO VILLALBA</t>
  </si>
  <si>
    <t xml:space="preserve"> TEODOCIO</t>
  </si>
  <si>
    <t>FAA299</t>
  </si>
  <si>
    <t>MARIN</t>
  </si>
  <si>
    <t>BXV576</t>
  </si>
  <si>
    <t>CRISTIAN ALFREDO</t>
  </si>
  <si>
    <t>CBR113</t>
  </si>
  <si>
    <t>MARINELLI</t>
  </si>
  <si>
    <t>SALVADOR ARIEL</t>
  </si>
  <si>
    <t>MEH611</t>
  </si>
  <si>
    <t>CAREN MARTINA</t>
  </si>
  <si>
    <t>XMT608</t>
  </si>
  <si>
    <t>USL640</t>
  </si>
  <si>
    <t>MARQUES SEMEAO</t>
  </si>
  <si>
    <t>CARLOS ANSELMO</t>
  </si>
  <si>
    <t>KIU637</t>
  </si>
  <si>
    <t>MARQUEZ</t>
  </si>
  <si>
    <t xml:space="preserve">AQUILO OSCAR </t>
  </si>
  <si>
    <t>KMZ603</t>
  </si>
  <si>
    <t>MARTINE</t>
  </si>
  <si>
    <t>GUSTAVO JOSE</t>
  </si>
  <si>
    <t>MTU868</t>
  </si>
  <si>
    <t>MARTINELLI</t>
  </si>
  <si>
    <t>JUAN MARCELO GUSTAVO</t>
  </si>
  <si>
    <t>BJY328</t>
  </si>
  <si>
    <t>MARTINEZ</t>
  </si>
  <si>
    <t>QUIMEY MAGALI</t>
  </si>
  <si>
    <t>GEB820</t>
  </si>
  <si>
    <t>CXJ247</t>
  </si>
  <si>
    <t>LEANDRO EZEQUIEL</t>
  </si>
  <si>
    <t>IAY707</t>
  </si>
  <si>
    <t>SMO505</t>
  </si>
  <si>
    <t xml:space="preserve">MARTINEZ </t>
  </si>
  <si>
    <t>HUGO NICANOR</t>
  </si>
  <si>
    <t>JLL557</t>
  </si>
  <si>
    <t xml:space="preserve">ESTEBAN CRISTIAN </t>
  </si>
  <si>
    <t>IZG959</t>
  </si>
  <si>
    <t>BRF448</t>
  </si>
  <si>
    <t>MARTINEZ LLANOS</t>
  </si>
  <si>
    <t>SABINA</t>
  </si>
  <si>
    <t>ENX746</t>
  </si>
  <si>
    <t xml:space="preserve">MASTROIANNI </t>
  </si>
  <si>
    <t>ARIEL</t>
  </si>
  <si>
    <t>DCY955</t>
  </si>
  <si>
    <t>MATTO</t>
  </si>
  <si>
    <t>MAURICIO</t>
  </si>
  <si>
    <t>752KMC</t>
  </si>
  <si>
    <t>MAYER</t>
  </si>
  <si>
    <t>JONATHAN GASTON</t>
  </si>
  <si>
    <t>SDX045</t>
  </si>
  <si>
    <t>MAZURYK</t>
  </si>
  <si>
    <t>CRISTIAN HERNAN</t>
  </si>
  <si>
    <t>CZO303</t>
  </si>
  <si>
    <t>MEAURIO</t>
  </si>
  <si>
    <t>SERGIO ESTEBAN</t>
  </si>
  <si>
    <t>RMF099</t>
  </si>
  <si>
    <t>MEDINA</t>
  </si>
  <si>
    <t>UHY614</t>
  </si>
  <si>
    <t>DVC617</t>
  </si>
  <si>
    <t>EMILIANO NICOLAS</t>
  </si>
  <si>
    <t>BIN268</t>
  </si>
  <si>
    <t>RAMON DAVID</t>
  </si>
  <si>
    <t>SNV291</t>
  </si>
  <si>
    <t>VSO692</t>
  </si>
  <si>
    <t xml:space="preserve">JUAN CARLOS </t>
  </si>
  <si>
    <t>IFN633</t>
  </si>
  <si>
    <t>CARLOS MEDARDO</t>
  </si>
  <si>
    <t>WHG456</t>
  </si>
  <si>
    <t>MEDRANO</t>
  </si>
  <si>
    <t>CHAVEZ RAUL</t>
  </si>
  <si>
    <t>AE981VU</t>
  </si>
  <si>
    <t>MENDEZ</t>
  </si>
  <si>
    <t>DAVID ISMAEL</t>
  </si>
  <si>
    <t>TOW953</t>
  </si>
  <si>
    <t>RODRIGO SEBASTIAN</t>
  </si>
  <si>
    <t>XAZ672</t>
  </si>
  <si>
    <t>JOSE DANIEL</t>
  </si>
  <si>
    <t>DCZ325</t>
  </si>
  <si>
    <t>IDALINO</t>
  </si>
  <si>
    <t>EKS158</t>
  </si>
  <si>
    <t>MENDIETA</t>
  </si>
  <si>
    <t>JONATHAN EZEQUIEL</t>
  </si>
  <si>
    <t>BCB083</t>
  </si>
  <si>
    <t>MENDOZA</t>
  </si>
  <si>
    <t>MAXIMILIANO FRANCO</t>
  </si>
  <si>
    <t>ITX277</t>
  </si>
  <si>
    <t>ALEJANDRO SEBASTIAN</t>
  </si>
  <si>
    <t>JAK786</t>
  </si>
  <si>
    <t>MENDOZA SALINAS</t>
  </si>
  <si>
    <t>RVQ837</t>
  </si>
  <si>
    <t>MENE</t>
  </si>
  <si>
    <t>DANIEL FERNANDO</t>
  </si>
  <si>
    <t>CQD729</t>
  </si>
  <si>
    <t>BDR657</t>
  </si>
  <si>
    <t>MERCADO</t>
  </si>
  <si>
    <t>IOD756</t>
  </si>
  <si>
    <t>MERCADO RODRIGUEZ</t>
  </si>
  <si>
    <t>MARTIN RICARDO</t>
  </si>
  <si>
    <t>TBH960</t>
  </si>
  <si>
    <t>MERCADO SANCHEZ</t>
  </si>
  <si>
    <t>LUCIO CESAR</t>
  </si>
  <si>
    <t>101CFV425</t>
  </si>
  <si>
    <t>CFV425</t>
  </si>
  <si>
    <t>MEZA</t>
  </si>
  <si>
    <t>GUILLERMO GABRIEL</t>
  </si>
  <si>
    <t>WKJ812</t>
  </si>
  <si>
    <t>MEZA JUAREZ</t>
  </si>
  <si>
    <t>MATIAS EZEQUIEL</t>
  </si>
  <si>
    <t>AFJ156</t>
  </si>
  <si>
    <t>MILCI</t>
  </si>
  <si>
    <t>CLAUDIO ALEJANDRO</t>
  </si>
  <si>
    <t>NSL281</t>
  </si>
  <si>
    <t>MILLARES</t>
  </si>
  <si>
    <t>PABLO EMMANUEL</t>
  </si>
  <si>
    <t>STN369</t>
  </si>
  <si>
    <t>MILLER</t>
  </si>
  <si>
    <t>MAXIMILIANO ANDRES</t>
  </si>
  <si>
    <t>SKD498</t>
  </si>
  <si>
    <t>MINUTELLI</t>
  </si>
  <si>
    <t>LUCAS FABIAN</t>
  </si>
  <si>
    <t>FVS586</t>
  </si>
  <si>
    <t>MIRANDA</t>
  </si>
  <si>
    <t>ALEJANDRO ESTEBAN</t>
  </si>
  <si>
    <t>TYB876</t>
  </si>
  <si>
    <t>DAMIAN ARIEL</t>
  </si>
  <si>
    <t>CDZ871</t>
  </si>
  <si>
    <t>MOHAMUD</t>
  </si>
  <si>
    <t>ALBERTO GABRIEL</t>
  </si>
  <si>
    <t>HNX897</t>
  </si>
  <si>
    <t>MOLASSI</t>
  </si>
  <si>
    <t>FNX702</t>
  </si>
  <si>
    <t>MOLINA</t>
  </si>
  <si>
    <t>JORGE ABEL</t>
  </si>
  <si>
    <t>BUF769</t>
  </si>
  <si>
    <t>HUGO RICARDO</t>
  </si>
  <si>
    <t>A015AIC</t>
  </si>
  <si>
    <t>DUA907</t>
  </si>
  <si>
    <t xml:space="preserve">JULIO CESAR </t>
  </si>
  <si>
    <t>VRU380</t>
  </si>
  <si>
    <t>MOLINAS</t>
  </si>
  <si>
    <t>MARCELO ADRIAN</t>
  </si>
  <si>
    <t>BJC740</t>
  </si>
  <si>
    <t>RAUL ALBERTO</t>
  </si>
  <si>
    <t>BJS784</t>
  </si>
  <si>
    <t xml:space="preserve">MONJE </t>
  </si>
  <si>
    <t>BFT983</t>
  </si>
  <si>
    <t>MONTENEGRO</t>
  </si>
  <si>
    <t>HECTOR HORACIO</t>
  </si>
  <si>
    <t>GUJ895</t>
  </si>
  <si>
    <t>HLH604</t>
  </si>
  <si>
    <t>SERGIO DOMINGO</t>
  </si>
  <si>
    <t>GIU499</t>
  </si>
  <si>
    <t>ARA107</t>
  </si>
  <si>
    <t>MATIAS SEBASTIAN</t>
  </si>
  <si>
    <t>LDH064</t>
  </si>
  <si>
    <t>WRU023</t>
  </si>
  <si>
    <t>MONTIEL</t>
  </si>
  <si>
    <t>LEONARDO FABIAN</t>
  </si>
  <si>
    <t>FGH804</t>
  </si>
  <si>
    <t>MONTIEL AYALA</t>
  </si>
  <si>
    <t>BENITO</t>
  </si>
  <si>
    <t>ETO338</t>
  </si>
  <si>
    <t>MORABITO</t>
  </si>
  <si>
    <t>ESTEBAN HERNAN</t>
  </si>
  <si>
    <t>VIJ660</t>
  </si>
  <si>
    <t>MORAES</t>
  </si>
  <si>
    <t>VICTOR ELBIO</t>
  </si>
  <si>
    <t>IOP496</t>
  </si>
  <si>
    <t>MORALES</t>
  </si>
  <si>
    <t>ANIBAL CARLOS</t>
  </si>
  <si>
    <t>AA232VI</t>
  </si>
  <si>
    <t>JUAN VIVIANO</t>
  </si>
  <si>
    <t>THE286</t>
  </si>
  <si>
    <t>ABELARDO ISMAEL</t>
  </si>
  <si>
    <t>966GHG</t>
  </si>
  <si>
    <t>FLORENCIA SOLEDAD</t>
  </si>
  <si>
    <t>GGB576</t>
  </si>
  <si>
    <t>BVH321</t>
  </si>
  <si>
    <t>SUZ128</t>
  </si>
  <si>
    <t>MORE</t>
  </si>
  <si>
    <t>LUIS</t>
  </si>
  <si>
    <t>RKZ706</t>
  </si>
  <si>
    <t>DEN231</t>
  </si>
  <si>
    <t>FRANCO JAVIER</t>
  </si>
  <si>
    <t>BHP393</t>
  </si>
  <si>
    <t>MOREL</t>
  </si>
  <si>
    <t>JOSE DOLORES</t>
  </si>
  <si>
    <t>VPT434</t>
  </si>
  <si>
    <t>MSV268</t>
  </si>
  <si>
    <t>ECN271</t>
  </si>
  <si>
    <t>MORELLO</t>
  </si>
  <si>
    <t>ARIEL SANTOS</t>
  </si>
  <si>
    <t>FGO292</t>
  </si>
  <si>
    <t>MORENA</t>
  </si>
  <si>
    <t>CHM827</t>
  </si>
  <si>
    <t>MORENO</t>
  </si>
  <si>
    <t>JORGE LUIS</t>
  </si>
  <si>
    <t>DGU214</t>
  </si>
  <si>
    <t>JORGE ORLANDO</t>
  </si>
  <si>
    <t>AHX584</t>
  </si>
  <si>
    <t>RICARDO</t>
  </si>
  <si>
    <t>RHL958</t>
  </si>
  <si>
    <t>MOREYRA</t>
  </si>
  <si>
    <t>WALTER ARMANDO</t>
  </si>
  <si>
    <t>REQ151</t>
  </si>
  <si>
    <t>MORRABITO</t>
  </si>
  <si>
    <t>SNU213</t>
  </si>
  <si>
    <t>MOYANO</t>
  </si>
  <si>
    <t>MARIO ALBERTO</t>
  </si>
  <si>
    <t>CLF378</t>
  </si>
  <si>
    <t>EMANUEL MAURO</t>
  </si>
  <si>
    <t>IGZ499</t>
  </si>
  <si>
    <t>MUÑOZ</t>
  </si>
  <si>
    <t>OSCAR ADRIANO</t>
  </si>
  <si>
    <t>EGH296</t>
  </si>
  <si>
    <t>NARVAEZ</t>
  </si>
  <si>
    <t>MATIAS GABRIEL</t>
  </si>
  <si>
    <t>ABC701</t>
  </si>
  <si>
    <t>MATIAS</t>
  </si>
  <si>
    <t>107JCG</t>
  </si>
  <si>
    <t>NAVARRO</t>
  </si>
  <si>
    <t>MATIAS HERNAN</t>
  </si>
  <si>
    <t>TNQ791</t>
  </si>
  <si>
    <t>NAVEDA</t>
  </si>
  <si>
    <t>ROBERTO JESUS</t>
  </si>
  <si>
    <t>EEB299</t>
  </si>
  <si>
    <t>NAVIA</t>
  </si>
  <si>
    <t>GUSTAVO HORACIO</t>
  </si>
  <si>
    <t>PQK925</t>
  </si>
  <si>
    <t>NIEVA</t>
  </si>
  <si>
    <t>MAXIMILIANO DAMIAN</t>
  </si>
  <si>
    <t>GEN503</t>
  </si>
  <si>
    <t>NICOLAER</t>
  </si>
  <si>
    <t>MAXIMILIANO NAUHEL</t>
  </si>
  <si>
    <t>DLH790</t>
  </si>
  <si>
    <t>NOGUERA</t>
  </si>
  <si>
    <t>EDUARDO OSCAR</t>
  </si>
  <si>
    <t>AB891GL</t>
  </si>
  <si>
    <t>NOVARO</t>
  </si>
  <si>
    <t>AMARANTO WASHINGTON</t>
  </si>
  <si>
    <t>BDZ682</t>
  </si>
  <si>
    <t>NUÑEZ</t>
  </si>
  <si>
    <t>GAMALIEL</t>
  </si>
  <si>
    <t>CWD279</t>
  </si>
  <si>
    <t>FRANCO DANIEL</t>
  </si>
  <si>
    <t>EVX883</t>
  </si>
  <si>
    <t>ALEJANDRO NAHUEL</t>
  </si>
  <si>
    <t>MAS774</t>
  </si>
  <si>
    <t>LUIS ALFREDO</t>
  </si>
  <si>
    <t>SYC141</t>
  </si>
  <si>
    <t>NUÑEZ VIERA</t>
  </si>
  <si>
    <t>OMAR MARCELO</t>
  </si>
  <si>
    <t>VCE329</t>
  </si>
  <si>
    <t>NUSS</t>
  </si>
  <si>
    <t>VICTOR ORLANDO</t>
  </si>
  <si>
    <t>SDF510</t>
  </si>
  <si>
    <t>OCAMPO</t>
  </si>
  <si>
    <t>NORBERTO EZEQUIEL</t>
  </si>
  <si>
    <t>SSN847</t>
  </si>
  <si>
    <t>FERNANDO JOSE</t>
  </si>
  <si>
    <t>KMS209</t>
  </si>
  <si>
    <t>WALTER RUBEN</t>
  </si>
  <si>
    <t>SIX794</t>
  </si>
  <si>
    <t>JAVIER GUSTAVO</t>
  </si>
  <si>
    <t>049XLF</t>
  </si>
  <si>
    <t>HRS321</t>
  </si>
  <si>
    <t>OCAMPOS</t>
  </si>
  <si>
    <t>ALFREDO GERMAN</t>
  </si>
  <si>
    <t>TER565</t>
  </si>
  <si>
    <t>OCHOA</t>
  </si>
  <si>
    <t xml:space="preserve">JONANTAN ENRIQUE </t>
  </si>
  <si>
    <t>SQP520</t>
  </si>
  <si>
    <t>OJEDA</t>
  </si>
  <si>
    <t>CARLOS ESTEBAN</t>
  </si>
  <si>
    <t>FRG458</t>
  </si>
  <si>
    <t>CCO615</t>
  </si>
  <si>
    <t>BMI888</t>
  </si>
  <si>
    <t>CDK509</t>
  </si>
  <si>
    <t>MEB736</t>
  </si>
  <si>
    <t>OLEA</t>
  </si>
  <si>
    <t>MARIANA RUTH</t>
  </si>
  <si>
    <t>IRH782</t>
  </si>
  <si>
    <t>OLGUIN</t>
  </si>
  <si>
    <t>URF212</t>
  </si>
  <si>
    <t>TWB619</t>
  </si>
  <si>
    <t>MICAELA ALEJANDRA</t>
  </si>
  <si>
    <t>BBR905</t>
  </si>
  <si>
    <t>RBU114</t>
  </si>
  <si>
    <t>WRX499</t>
  </si>
  <si>
    <t>OLIVEIRA BENITEZ</t>
  </si>
  <si>
    <t>CASILDO</t>
  </si>
  <si>
    <t>DYI635</t>
  </si>
  <si>
    <t>OLIVERA</t>
  </si>
  <si>
    <t>CARLOS MAXIMILIANO</t>
  </si>
  <si>
    <t>BQR135</t>
  </si>
  <si>
    <t>JOSE AMERICO</t>
  </si>
  <si>
    <t>TYH375</t>
  </si>
  <si>
    <t>RCU730</t>
  </si>
  <si>
    <t>FERNANDO LEOPOLDO DANIEL</t>
  </si>
  <si>
    <t>UDT128</t>
  </si>
  <si>
    <t>850ISM</t>
  </si>
  <si>
    <t>OLIVERA HARIN</t>
  </si>
  <si>
    <t>CARLOS EUGENIO</t>
  </si>
  <si>
    <t>UJS638</t>
  </si>
  <si>
    <t>ORELLANA</t>
  </si>
  <si>
    <t>ALEXIS DAMIAN</t>
  </si>
  <si>
    <t>HKC663</t>
  </si>
  <si>
    <t>RAUL ALEJANDRO</t>
  </si>
  <si>
    <t>AOT805</t>
  </si>
  <si>
    <t>24/10/224</t>
  </si>
  <si>
    <t>RUBEN ALFREDO</t>
  </si>
  <si>
    <t>GIQ402</t>
  </si>
  <si>
    <t>ORTIZ</t>
  </si>
  <si>
    <t>OMAR ANIBAL</t>
  </si>
  <si>
    <t>COC541</t>
  </si>
  <si>
    <t>CANDELA MILAGROS LUJAN</t>
  </si>
  <si>
    <t>CDI141</t>
  </si>
  <si>
    <t>JOSE IGNACIO</t>
  </si>
  <si>
    <t>SEQ902</t>
  </si>
  <si>
    <t>ORTIZ BENITEZ</t>
  </si>
  <si>
    <t>RYV497</t>
  </si>
  <si>
    <t>ORTIZ MALDONADO</t>
  </si>
  <si>
    <t xml:space="preserve">ERWIN RAMON </t>
  </si>
  <si>
    <t>LCT735</t>
  </si>
  <si>
    <t>ORTIZ RAMIREZ</t>
  </si>
  <si>
    <t>JUAN PATRICIO</t>
  </si>
  <si>
    <t>AIF154</t>
  </si>
  <si>
    <t>OSORIO URBIETA</t>
  </si>
  <si>
    <t>LEANDRO</t>
  </si>
  <si>
    <t>KRD445</t>
  </si>
  <si>
    <t>OSUNA PAEZ</t>
  </si>
  <si>
    <t>NUG179</t>
  </si>
  <si>
    <t>OTTADO</t>
  </si>
  <si>
    <t>SANTIAGO MARTIN</t>
  </si>
  <si>
    <t>UER286</t>
  </si>
  <si>
    <t>OVEJERO</t>
  </si>
  <si>
    <t>HZV714</t>
  </si>
  <si>
    <t>Ovejero</t>
  </si>
  <si>
    <t>Domingo Evaristo</t>
  </si>
  <si>
    <t>AXA263</t>
  </si>
  <si>
    <t>PAZ125</t>
  </si>
  <si>
    <t>101HZV714</t>
  </si>
  <si>
    <t>DARIO MARCELO</t>
  </si>
  <si>
    <t>BYS148</t>
  </si>
  <si>
    <t>OVIEDO</t>
  </si>
  <si>
    <t>ABRAHAM ISAIAS</t>
  </si>
  <si>
    <t>RBJ724</t>
  </si>
  <si>
    <t>PACAJACOA</t>
  </si>
  <si>
    <t>PEDRO</t>
  </si>
  <si>
    <t>EVT538</t>
  </si>
  <si>
    <t>PAEZ</t>
  </si>
  <si>
    <t>NESTOR FILEMON</t>
  </si>
  <si>
    <t>BOH529</t>
  </si>
  <si>
    <t>FABIO ALBERTO</t>
  </si>
  <si>
    <t>IRM966</t>
  </si>
  <si>
    <t>AVF840</t>
  </si>
  <si>
    <t>JJQ248</t>
  </si>
  <si>
    <t>MATIAS RUDECINDO</t>
  </si>
  <si>
    <t>BHG806</t>
  </si>
  <si>
    <t>PALACIOS</t>
  </si>
  <si>
    <t>DIEGO OSCAR</t>
  </si>
  <si>
    <t>Siniestro</t>
  </si>
  <si>
    <t>ROU713</t>
  </si>
  <si>
    <t>PAREDES</t>
  </si>
  <si>
    <t>ELF037</t>
  </si>
  <si>
    <t>PARISE</t>
  </si>
  <si>
    <t>VICTOR DANIEL</t>
  </si>
  <si>
    <t>NSN087</t>
  </si>
  <si>
    <t>WMZ534</t>
  </si>
  <si>
    <t>PATE</t>
  </si>
  <si>
    <t>ALEJANDRA VERONICA</t>
  </si>
  <si>
    <t>FRG263</t>
  </si>
  <si>
    <t>VQL868</t>
  </si>
  <si>
    <t>PATRON</t>
  </si>
  <si>
    <t>DARIO JOEL</t>
  </si>
  <si>
    <t>WBR876</t>
  </si>
  <si>
    <t>PAVON</t>
  </si>
  <si>
    <t>CARLOS MARCELO</t>
  </si>
  <si>
    <t>NON131</t>
  </si>
  <si>
    <t>PBR175</t>
  </si>
  <si>
    <t>MAURO GABRIEL</t>
  </si>
  <si>
    <t>IAO612</t>
  </si>
  <si>
    <t>PAZ</t>
  </si>
  <si>
    <t>LUCAS DAMIAN</t>
  </si>
  <si>
    <t>JFI207</t>
  </si>
  <si>
    <t>CRISTIN MAXIMILIANO</t>
  </si>
  <si>
    <t>SGY040</t>
  </si>
  <si>
    <t>HUGO ALBERTO</t>
  </si>
  <si>
    <t>AQC371</t>
  </si>
  <si>
    <t>ASW635</t>
  </si>
  <si>
    <t>SYC325</t>
  </si>
  <si>
    <t>CDK206</t>
  </si>
  <si>
    <t>JONATAN</t>
  </si>
  <si>
    <t>BAH750</t>
  </si>
  <si>
    <t>GGD895</t>
  </si>
  <si>
    <t>PECORA</t>
  </si>
  <si>
    <t>GUSTAVO JESUS</t>
  </si>
  <si>
    <t>FIQ838</t>
  </si>
  <si>
    <t>PENAYO</t>
  </si>
  <si>
    <t>FACUNDO DAMIAN</t>
  </si>
  <si>
    <t>ADR375</t>
  </si>
  <si>
    <t>PERALTA</t>
  </si>
  <si>
    <t>DNS082</t>
  </si>
  <si>
    <t>HORACIO ALEJANDRO DAVID</t>
  </si>
  <si>
    <t>AWY923</t>
  </si>
  <si>
    <t>PERDOMO</t>
  </si>
  <si>
    <t>HUGO DANIEL</t>
  </si>
  <si>
    <t>CNC987</t>
  </si>
  <si>
    <t>PEREIRA</t>
  </si>
  <si>
    <t>JULIO ANTONIO</t>
  </si>
  <si>
    <t>GZO923</t>
  </si>
  <si>
    <t>PEREIRA LEZCANO</t>
  </si>
  <si>
    <t>JORGE RAUL</t>
  </si>
  <si>
    <t>TMT784</t>
  </si>
  <si>
    <t>PEREYRA</t>
  </si>
  <si>
    <t>PAOLA</t>
  </si>
  <si>
    <t>HXD852</t>
  </si>
  <si>
    <t>HUGO GABRIEL</t>
  </si>
  <si>
    <t>WEH640</t>
  </si>
  <si>
    <t>GUILLERMO MAXIMILIANO</t>
  </si>
  <si>
    <t>BLQ945</t>
  </si>
  <si>
    <t>FRANCISCO ERMELINDO</t>
  </si>
  <si>
    <t>AA548XI</t>
  </si>
  <si>
    <t>HDX852</t>
  </si>
  <si>
    <t>JOAN CARLOS</t>
  </si>
  <si>
    <t>SAQ522</t>
  </si>
  <si>
    <t>PEREYRA PERREYRA</t>
  </si>
  <si>
    <t>JOAN</t>
  </si>
  <si>
    <t>PEREZ</t>
  </si>
  <si>
    <t>DAVID EZEQUIEL</t>
  </si>
  <si>
    <t>ACV917</t>
  </si>
  <si>
    <t>JONATAN GUSTAVO</t>
  </si>
  <si>
    <t>DAP787</t>
  </si>
  <si>
    <t>GUILLERMO ANDRES</t>
  </si>
  <si>
    <t>VJQ869</t>
  </si>
  <si>
    <t>BRAIAN ANIBAL</t>
  </si>
  <si>
    <t>AUO345</t>
  </si>
  <si>
    <t>NESTOR JAVIER</t>
  </si>
  <si>
    <t>GKF408</t>
  </si>
  <si>
    <t xml:space="preserve">PEREZ INUMA </t>
  </si>
  <si>
    <t>MARCO ANTONIO</t>
  </si>
  <si>
    <t>XJM013</t>
  </si>
  <si>
    <t>PEREZ TIBOCHA</t>
  </si>
  <si>
    <t>FABIAN ORLANDO</t>
  </si>
  <si>
    <t>DYD267</t>
  </si>
  <si>
    <t>PHILIPS</t>
  </si>
  <si>
    <t>FRANCO DAVID</t>
  </si>
  <si>
    <t>A159BPY</t>
  </si>
  <si>
    <t>PIEDRABUENA</t>
  </si>
  <si>
    <t>EKU327</t>
  </si>
  <si>
    <t>RECALDE</t>
  </si>
  <si>
    <t>ADRIANO</t>
  </si>
  <si>
    <t>DTC681</t>
  </si>
  <si>
    <t xml:space="preserve"> MEDINA CHAVEZ</t>
  </si>
  <si>
    <t>CRISTIAN ELIGIO</t>
  </si>
  <si>
    <t>ERE431</t>
  </si>
  <si>
    <t>PINCEVIC</t>
  </si>
  <si>
    <t>ESTEBAN IVAN</t>
  </si>
  <si>
    <t>KQM393</t>
  </si>
  <si>
    <t>SIG948</t>
  </si>
  <si>
    <t xml:space="preserve">PINCEVIC </t>
  </si>
  <si>
    <t>HKU400</t>
  </si>
  <si>
    <t>PINTOS</t>
  </si>
  <si>
    <t>RICARDO DANIEL</t>
  </si>
  <si>
    <t>BIG754</t>
  </si>
  <si>
    <t>JORGE RUBEN</t>
  </si>
  <si>
    <t>RCO710</t>
  </si>
  <si>
    <t>JOSE EDUARDO</t>
  </si>
  <si>
    <t>BWS123</t>
  </si>
  <si>
    <t>CCG797</t>
  </si>
  <si>
    <t xml:space="preserve">PINTOS </t>
  </si>
  <si>
    <t>NICOLAS NAHUEL</t>
  </si>
  <si>
    <t>247LEZ</t>
  </si>
  <si>
    <t>BUA290</t>
  </si>
  <si>
    <t>ALAN MATIAS</t>
  </si>
  <si>
    <t>A146OYS</t>
  </si>
  <si>
    <t>PINTO</t>
  </si>
  <si>
    <t>BMD657</t>
  </si>
  <si>
    <t>PIÑERO</t>
  </si>
  <si>
    <t>DANIEL BERNARDO</t>
  </si>
  <si>
    <t>DCG513</t>
  </si>
  <si>
    <t>PIRIS</t>
  </si>
  <si>
    <t>ALEJANDRO FABIAN</t>
  </si>
  <si>
    <t>VPO819</t>
  </si>
  <si>
    <t>PIZZINGA</t>
  </si>
  <si>
    <t>SDQ558</t>
  </si>
  <si>
    <t>PIZZORNO LUJAN</t>
  </si>
  <si>
    <t>DEL746</t>
  </si>
  <si>
    <t>POLI</t>
  </si>
  <si>
    <t>SEBASTIAN EMANUEL</t>
  </si>
  <si>
    <t>NWO874</t>
  </si>
  <si>
    <t>HBQ092</t>
  </si>
  <si>
    <t>PONCE</t>
  </si>
  <si>
    <t>BNK381</t>
  </si>
  <si>
    <t>LUIS ANGEL</t>
  </si>
  <si>
    <t>OSF367</t>
  </si>
  <si>
    <t>BRAIAN EZEQUIEL</t>
  </si>
  <si>
    <t>XJP957</t>
  </si>
  <si>
    <t>SERGIO GUSTAVO</t>
  </si>
  <si>
    <t>UIN292</t>
  </si>
  <si>
    <t>PORTILLO</t>
  </si>
  <si>
    <t>ELIAS DANIEL</t>
  </si>
  <si>
    <t>TKT526</t>
  </si>
  <si>
    <t>PRADO</t>
  </si>
  <si>
    <t>RODRIGO EMANUEL</t>
  </si>
  <si>
    <t>BFD791</t>
  </si>
  <si>
    <t>ELBIO ALCIDES</t>
  </si>
  <si>
    <t>FXO461</t>
  </si>
  <si>
    <t>DUB017</t>
  </si>
  <si>
    <t>PRESA</t>
  </si>
  <si>
    <t>EVANGELINA MARISA</t>
  </si>
  <si>
    <t>AZO991</t>
  </si>
  <si>
    <t>PRESOT</t>
  </si>
  <si>
    <t>FLORENCIA ANAHI</t>
  </si>
  <si>
    <t>FKG652</t>
  </si>
  <si>
    <t>PRETTO</t>
  </si>
  <si>
    <t>SERGIO WALTER</t>
  </si>
  <si>
    <t>WPB316</t>
  </si>
  <si>
    <t xml:space="preserve">PRIETO </t>
  </si>
  <si>
    <t>JUAN PABLO</t>
  </si>
  <si>
    <t>AEK185</t>
  </si>
  <si>
    <t xml:space="preserve">PRIETO TORRES </t>
  </si>
  <si>
    <t xml:space="preserve">ISAAC ALEJANDRO </t>
  </si>
  <si>
    <t>AQB752</t>
  </si>
  <si>
    <t>PUCHETA</t>
  </si>
  <si>
    <t>NICOLAS FERNANDO</t>
  </si>
  <si>
    <t>OEG625</t>
  </si>
  <si>
    <t>RICARDO ADRIAN</t>
  </si>
  <si>
    <t>SYG094</t>
  </si>
  <si>
    <t>PUMAS</t>
  </si>
  <si>
    <t>CARLOS GABRIEL</t>
  </si>
  <si>
    <t>ADE292</t>
  </si>
  <si>
    <t>PUNTANO DURE</t>
  </si>
  <si>
    <t xml:space="preserve">MARCO ANTONIO </t>
  </si>
  <si>
    <t>TIB185</t>
  </si>
  <si>
    <t>PUÑALES</t>
  </si>
  <si>
    <t>BRIAN EZEQUIEL</t>
  </si>
  <si>
    <t>MXC572</t>
  </si>
  <si>
    <t>PURITA</t>
  </si>
  <si>
    <t>VICENTE SALVADOR</t>
  </si>
  <si>
    <t>ANB439</t>
  </si>
  <si>
    <t>PURCHEL</t>
  </si>
  <si>
    <t>JOSE MARIN</t>
  </si>
  <si>
    <t>AJZ539</t>
  </si>
  <si>
    <t>QUINTANA</t>
  </si>
  <si>
    <t>NORMA CONCEPCION</t>
  </si>
  <si>
    <t>DMN391</t>
  </si>
  <si>
    <t>JONATHAN GABRIEL</t>
  </si>
  <si>
    <t>SMZ123</t>
  </si>
  <si>
    <t>QUINTANA ROA</t>
  </si>
  <si>
    <t>CATALINO</t>
  </si>
  <si>
    <t>IWW469</t>
  </si>
  <si>
    <t>QUINTEROS</t>
  </si>
  <si>
    <t>TOMAS AGUSTIN</t>
  </si>
  <si>
    <t>WRG097</t>
  </si>
  <si>
    <t>QUINTEROS ALVARADO</t>
  </si>
  <si>
    <t>HONORATO</t>
  </si>
  <si>
    <t>AB576XM</t>
  </si>
  <si>
    <t>QUINZACARA</t>
  </si>
  <si>
    <t>NICOLAS EMANUEL</t>
  </si>
  <si>
    <t>SMH769</t>
  </si>
  <si>
    <t>QUIÑONEZ PAREDES</t>
  </si>
  <si>
    <t>ENRIQUE</t>
  </si>
  <si>
    <t>A030XXN</t>
  </si>
  <si>
    <t>QUIPILDOR</t>
  </si>
  <si>
    <t>BKK250</t>
  </si>
  <si>
    <t>QUIROGA</t>
  </si>
  <si>
    <t>RICARDO DAMIAN</t>
  </si>
  <si>
    <t>510JZU</t>
  </si>
  <si>
    <t>LEONARDO ALBERTO</t>
  </si>
  <si>
    <t>ACE362</t>
  </si>
  <si>
    <t>QUISPE</t>
  </si>
  <si>
    <t>LEONARDO NAZARENO</t>
  </si>
  <si>
    <t>NXJ974</t>
  </si>
  <si>
    <t>QUISPE HUARACHI</t>
  </si>
  <si>
    <t>EDWIN JOSUE</t>
  </si>
  <si>
    <t>JLB381</t>
  </si>
  <si>
    <t>RAK</t>
  </si>
  <si>
    <t>ROMINA CELESTE</t>
  </si>
  <si>
    <t>GXA956</t>
  </si>
  <si>
    <t>RAMIREZ</t>
  </si>
  <si>
    <t>JULIAN JAVIER</t>
  </si>
  <si>
    <t>EGP500</t>
  </si>
  <si>
    <t>CRISTIAN EMILIO</t>
  </si>
  <si>
    <t>CHF363</t>
  </si>
  <si>
    <t>MATIAS CARLOS</t>
  </si>
  <si>
    <t>ABI323</t>
  </si>
  <si>
    <t>RAMOS</t>
  </si>
  <si>
    <t>BYJ945</t>
  </si>
  <si>
    <t>JORGE OSCAR</t>
  </si>
  <si>
    <t>EFS124</t>
  </si>
  <si>
    <t>XHJ985</t>
  </si>
  <si>
    <t>RAO</t>
  </si>
  <si>
    <t>MARIELA ESTER</t>
  </si>
  <si>
    <t>NSK930</t>
  </si>
  <si>
    <t>REBOREDO</t>
  </si>
  <si>
    <t xml:space="preserve">HECTOR DAVID </t>
  </si>
  <si>
    <t>CUE104</t>
  </si>
  <si>
    <t>REINALDE</t>
  </si>
  <si>
    <t>OMAR EDGARDO</t>
  </si>
  <si>
    <t>WGF618</t>
  </si>
  <si>
    <t>RETAMOZO</t>
  </si>
  <si>
    <t>HERNAN ALEJANDRO</t>
  </si>
  <si>
    <t>FPC229</t>
  </si>
  <si>
    <t>VICTOR ANGEL</t>
  </si>
  <si>
    <t>SCE576</t>
  </si>
  <si>
    <t>REVOLLO COCA</t>
  </si>
  <si>
    <t>SAA104</t>
  </si>
  <si>
    <t>REYES</t>
  </si>
  <si>
    <t>SERGIO MARTIN</t>
  </si>
  <si>
    <t>TBA443</t>
  </si>
  <si>
    <t>NELSON FABIAN</t>
  </si>
  <si>
    <t>BKP664</t>
  </si>
  <si>
    <t>101BKP664</t>
  </si>
  <si>
    <t>EHW936</t>
  </si>
  <si>
    <t>ROXANA YANINA</t>
  </si>
  <si>
    <t>DHD705</t>
  </si>
  <si>
    <t>RIOS</t>
  </si>
  <si>
    <t>HERNAN ARIEL</t>
  </si>
  <si>
    <t>BSB400</t>
  </si>
  <si>
    <t>LEONARDO ALFREDO</t>
  </si>
  <si>
    <t>CPT295</t>
  </si>
  <si>
    <t>RAMON</t>
  </si>
  <si>
    <t>FWL279</t>
  </si>
  <si>
    <t xml:space="preserve">RIOS </t>
  </si>
  <si>
    <t>LUIS HERIBERTO</t>
  </si>
  <si>
    <t>TDP425</t>
  </si>
  <si>
    <t>SFB712</t>
  </si>
  <si>
    <t>RAMON ALEJANDRO</t>
  </si>
  <si>
    <t>DKV240</t>
  </si>
  <si>
    <t>UAB738</t>
  </si>
  <si>
    <t>RIVERO</t>
  </si>
  <si>
    <t>MAURO ALEXANDER</t>
  </si>
  <si>
    <t>DWR350</t>
  </si>
  <si>
    <t>JYJ556</t>
  </si>
  <si>
    <t>FERNANDO MATIAS</t>
  </si>
  <si>
    <t>A189SLD</t>
  </si>
  <si>
    <t>RIVEROS CACERES</t>
  </si>
  <si>
    <t>ERMELINDA</t>
  </si>
  <si>
    <t>GWW650</t>
  </si>
  <si>
    <t>ROA</t>
  </si>
  <si>
    <t>LORENZO FRANCISCO</t>
  </si>
  <si>
    <t>AQP718</t>
  </si>
  <si>
    <t>BRIAN</t>
  </si>
  <si>
    <t>DUC991</t>
  </si>
  <si>
    <t>ROBLEDO</t>
  </si>
  <si>
    <t>BRUNO DARIO ALEJANDRO</t>
  </si>
  <si>
    <t>CVL662</t>
  </si>
  <si>
    <t>MATIAS EMMANUEL</t>
  </si>
  <si>
    <t>JRW517</t>
  </si>
  <si>
    <t>DANIELA ELIZABETH</t>
  </si>
  <si>
    <t>EVL422</t>
  </si>
  <si>
    <t>RODAS</t>
  </si>
  <si>
    <t>FHW367</t>
  </si>
  <si>
    <t>RODRIGUES PEDRA</t>
  </si>
  <si>
    <t>JUAN ANIBAL</t>
  </si>
  <si>
    <t>CLX935</t>
  </si>
  <si>
    <t>RODRIGUEZ</t>
  </si>
  <si>
    <t>JONATAN JOEL</t>
  </si>
  <si>
    <t>BFX870</t>
  </si>
  <si>
    <t>CESAR LUIS</t>
  </si>
  <si>
    <t>XIH513</t>
  </si>
  <si>
    <t>VTC021</t>
  </si>
  <si>
    <t>MIGUEL ALBRICIO</t>
  </si>
  <si>
    <t>AUQ029</t>
  </si>
  <si>
    <t>DAMIAN WALTER</t>
  </si>
  <si>
    <t>BJZ176</t>
  </si>
  <si>
    <t>101BJZ176</t>
  </si>
  <si>
    <t>SERGIO HERNAN</t>
  </si>
  <si>
    <t>GWO922</t>
  </si>
  <si>
    <t>EEK262</t>
  </si>
  <si>
    <t>LUIS BERNARDO</t>
  </si>
  <si>
    <t>RBY707</t>
  </si>
  <si>
    <t>NICOLAS ARIEL</t>
  </si>
  <si>
    <t>XEG232</t>
  </si>
  <si>
    <t>JONATHAN GUSTAVO BRIAN</t>
  </si>
  <si>
    <t>URF556</t>
  </si>
  <si>
    <t>101GWO922</t>
  </si>
  <si>
    <t xml:space="preserve">RODRIGUEZ </t>
  </si>
  <si>
    <t>MAXIMILIANO EZEQUIEL</t>
  </si>
  <si>
    <t>WXW380</t>
  </si>
  <si>
    <t>RODRIGUEZ ALVAREZ</t>
  </si>
  <si>
    <t>FRANCISCO ANTONIO</t>
  </si>
  <si>
    <t>DYJ451</t>
  </si>
  <si>
    <t>RODRIGUEZ DA SILVA</t>
  </si>
  <si>
    <t>MARY ELIZABETH</t>
  </si>
  <si>
    <t>IMI107</t>
  </si>
  <si>
    <t>RODRIGUEZ PORTAL</t>
  </si>
  <si>
    <t>ESTEBAN JAVIER</t>
  </si>
  <si>
    <t>CHJ225</t>
  </si>
  <si>
    <t>RODRIGUEZ TRIO</t>
  </si>
  <si>
    <t>RUBEN NORBERTO</t>
  </si>
  <si>
    <t>BEM941</t>
  </si>
  <si>
    <t>ROJAS</t>
  </si>
  <si>
    <t>ROBERTO CARLOS</t>
  </si>
  <si>
    <t>BSS637</t>
  </si>
  <si>
    <t>FERNANDO ARIEL</t>
  </si>
  <si>
    <t>BICICLETA</t>
  </si>
  <si>
    <t>DKZ485</t>
  </si>
  <si>
    <t>AUQ923</t>
  </si>
  <si>
    <t>LEANDRA ANABEL</t>
  </si>
  <si>
    <t>EHK590</t>
  </si>
  <si>
    <t>ROLDAN</t>
  </si>
  <si>
    <t>DIEGO DAVID</t>
  </si>
  <si>
    <t>DNI556</t>
  </si>
  <si>
    <t>ROLON</t>
  </si>
  <si>
    <t>NORA MARINA</t>
  </si>
  <si>
    <t>DMS770</t>
  </si>
  <si>
    <t>ROMAN RAMIREZ</t>
  </si>
  <si>
    <t>MARIO</t>
  </si>
  <si>
    <t>TCJ214</t>
  </si>
  <si>
    <t>ROMAN VERA</t>
  </si>
  <si>
    <t>ISAIAS DAVID</t>
  </si>
  <si>
    <t>A194UKP</t>
  </si>
  <si>
    <t>ROMANO</t>
  </si>
  <si>
    <t>BOU887</t>
  </si>
  <si>
    <t>UCB675</t>
  </si>
  <si>
    <t>ROMAÑUK</t>
  </si>
  <si>
    <t>RFH276</t>
  </si>
  <si>
    <t>ROMERO</t>
  </si>
  <si>
    <t>RAMON RICARDO</t>
  </si>
  <si>
    <t>BIK710</t>
  </si>
  <si>
    <t>MARIO LIENER</t>
  </si>
  <si>
    <t>PQV774</t>
  </si>
  <si>
    <t>MFF712</t>
  </si>
  <si>
    <t>ALEJANDRA LEONOR</t>
  </si>
  <si>
    <t>KQB224</t>
  </si>
  <si>
    <t>NELSON ANTONIO</t>
  </si>
  <si>
    <t>SCA368</t>
  </si>
  <si>
    <t>DANIEL MARTIN</t>
  </si>
  <si>
    <t>AD660AS</t>
  </si>
  <si>
    <t>ISIDRO RITO</t>
  </si>
  <si>
    <t>CNH873</t>
  </si>
  <si>
    <t>JLP105</t>
  </si>
  <si>
    <t>ROMERO SPOSITO</t>
  </si>
  <si>
    <t>CINTHIA ANTONELLA</t>
  </si>
  <si>
    <t>KNB282</t>
  </si>
  <si>
    <t>ROMERO STEIMBERGER</t>
  </si>
  <si>
    <t>NICOLAS EZEQUIEL</t>
  </si>
  <si>
    <t>TTA824</t>
  </si>
  <si>
    <t>ROSALES</t>
  </si>
  <si>
    <t>ADRIAN MARCELO</t>
  </si>
  <si>
    <t>AA374H</t>
  </si>
  <si>
    <t>RUBEN ARMANDO</t>
  </si>
  <si>
    <t>AQV981</t>
  </si>
  <si>
    <t>ROSSI</t>
  </si>
  <si>
    <t>JWM408</t>
  </si>
  <si>
    <t>DKB757</t>
  </si>
  <si>
    <t>AB044NF</t>
  </si>
  <si>
    <t>BIA076</t>
  </si>
  <si>
    <t>ROTELA</t>
  </si>
  <si>
    <t>GRU736</t>
  </si>
  <si>
    <t>ROVIRA</t>
  </si>
  <si>
    <t>CLAUDIO GUSTAVO</t>
  </si>
  <si>
    <t>CEW537</t>
  </si>
  <si>
    <t>RUCHEL</t>
  </si>
  <si>
    <t xml:space="preserve">FRANCISCO SEBASTIAN </t>
  </si>
  <si>
    <t>BIE605</t>
  </si>
  <si>
    <t>RUINA</t>
  </si>
  <si>
    <t>JTH600</t>
  </si>
  <si>
    <t>A199MXC</t>
  </si>
  <si>
    <t>RUIZ</t>
  </si>
  <si>
    <t>JORGE MAXIMILIANO</t>
  </si>
  <si>
    <t>AFR690</t>
  </si>
  <si>
    <t>MARIO ALEJANDRO</t>
  </si>
  <si>
    <t>KKF182</t>
  </si>
  <si>
    <t>ruiz</t>
  </si>
  <si>
    <t>julio ricardo</t>
  </si>
  <si>
    <t>UIG851</t>
  </si>
  <si>
    <t>SKF909</t>
  </si>
  <si>
    <t>XAU367</t>
  </si>
  <si>
    <t xml:space="preserve">RUIZ </t>
  </si>
  <si>
    <t>UNH782</t>
  </si>
  <si>
    <t>RUZZOLINO</t>
  </si>
  <si>
    <t>CARLOS ALEJANDRO</t>
  </si>
  <si>
    <t>CRP728</t>
  </si>
  <si>
    <t>UND609</t>
  </si>
  <si>
    <t>SAAVEDRA</t>
  </si>
  <si>
    <t xml:space="preserve">RODRIGO NICOLAS </t>
  </si>
  <si>
    <t>DUI990</t>
  </si>
  <si>
    <t>EPN771</t>
  </si>
  <si>
    <t>SABAREN</t>
  </si>
  <si>
    <t>JUAN BRANDON</t>
  </si>
  <si>
    <t>CDC995</t>
  </si>
  <si>
    <t>SACABA</t>
  </si>
  <si>
    <t>HTY337</t>
  </si>
  <si>
    <t>SAHAGIAN</t>
  </si>
  <si>
    <t>JUAN GABRIEL</t>
  </si>
  <si>
    <t>BJK647</t>
  </si>
  <si>
    <t>SAFRANI</t>
  </si>
  <si>
    <t>MARCELO</t>
  </si>
  <si>
    <t>IWL184</t>
  </si>
  <si>
    <t>SALCEDO</t>
  </si>
  <si>
    <t>GASTON GABRIEL</t>
  </si>
  <si>
    <t>AD422AR</t>
  </si>
  <si>
    <t>RMO091</t>
  </si>
  <si>
    <t>SALDOVINO</t>
  </si>
  <si>
    <t>CNJ987</t>
  </si>
  <si>
    <t>SALVATIERRA</t>
  </si>
  <si>
    <t>ADRIAN ALEJANDRO</t>
  </si>
  <si>
    <t>RUK897</t>
  </si>
  <si>
    <t>MANUEL ROBERTO</t>
  </si>
  <si>
    <t>BQS350</t>
  </si>
  <si>
    <t>MARIO ANTONIO</t>
  </si>
  <si>
    <t>ADX755</t>
  </si>
  <si>
    <t>ANDRES MARCELO</t>
  </si>
  <si>
    <t>SWL578</t>
  </si>
  <si>
    <t>FRANCO MATIAS</t>
  </si>
  <si>
    <t>897IFW</t>
  </si>
  <si>
    <t>FUR325</t>
  </si>
  <si>
    <t>COI989</t>
  </si>
  <si>
    <t>SAMPEDRO</t>
  </si>
  <si>
    <t>DANIEL SEBASTIAN</t>
  </si>
  <si>
    <t>FXY993</t>
  </si>
  <si>
    <t xml:space="preserve">SANABRIA </t>
  </si>
  <si>
    <t>VIRGILIO DAMIAN</t>
  </si>
  <si>
    <t>AHQ454</t>
  </si>
  <si>
    <t>SANCHEZ</t>
  </si>
  <si>
    <t>FRANCO JESUS</t>
  </si>
  <si>
    <t>573LKT</t>
  </si>
  <si>
    <t>HECTOR HUGO</t>
  </si>
  <si>
    <t>DEL986</t>
  </si>
  <si>
    <t>083JIE</t>
  </si>
  <si>
    <t>GOI966</t>
  </si>
  <si>
    <t>DANIEL RAFAEL</t>
  </si>
  <si>
    <t>UYN274</t>
  </si>
  <si>
    <t>ELIAS ESTEBAN</t>
  </si>
  <si>
    <t>AIJ672</t>
  </si>
  <si>
    <t>HECTOR ORLANDO</t>
  </si>
  <si>
    <t>CBD171</t>
  </si>
  <si>
    <t>MANUEL NICOLAS</t>
  </si>
  <si>
    <t>CAV595</t>
  </si>
  <si>
    <t>MATIAS LEONARDO</t>
  </si>
  <si>
    <t>WAR103</t>
  </si>
  <si>
    <t>CRISTIAN TOMAS</t>
  </si>
  <si>
    <t>SAJ462</t>
  </si>
  <si>
    <t>CGY107</t>
  </si>
  <si>
    <t>SANDER</t>
  </si>
  <si>
    <t>OSCAR ALFREDO</t>
  </si>
  <si>
    <t>ULU939</t>
  </si>
  <si>
    <t>SANDOVAL</t>
  </si>
  <si>
    <t>ANTONIO CRISOSTOMO</t>
  </si>
  <si>
    <t>FBK032</t>
  </si>
  <si>
    <t>SANFRINI</t>
  </si>
  <si>
    <t>ERNESTO ANIBAL</t>
  </si>
  <si>
    <t>SFP540</t>
  </si>
  <si>
    <t>SANTA CRUZ</t>
  </si>
  <si>
    <t>WQL226</t>
  </si>
  <si>
    <t>SANTANDER</t>
  </si>
  <si>
    <t>PABLO ADRIAN</t>
  </si>
  <si>
    <t>AXR760</t>
  </si>
  <si>
    <t>EPIFANIO</t>
  </si>
  <si>
    <t>UTG031</t>
  </si>
  <si>
    <t>SANTELLAN</t>
  </si>
  <si>
    <t xml:space="preserve">ANTONELLA PAOLA </t>
  </si>
  <si>
    <t>ICG936</t>
  </si>
  <si>
    <t>AGUSTINA BEATRIZ</t>
  </si>
  <si>
    <t>DRY908</t>
  </si>
  <si>
    <t>SANTILLAN</t>
  </si>
  <si>
    <t>LUCAS ELIAS</t>
  </si>
  <si>
    <t>GLA681</t>
  </si>
  <si>
    <t>ISMAEL EDUARDO</t>
  </si>
  <si>
    <t>GMJ163</t>
  </si>
  <si>
    <t>SDT466</t>
  </si>
  <si>
    <t>RENE GERMAN</t>
  </si>
  <si>
    <t>CFS055</t>
  </si>
  <si>
    <t>HPN086</t>
  </si>
  <si>
    <t>MANUEL ALBERTO</t>
  </si>
  <si>
    <t>EQF456</t>
  </si>
  <si>
    <t xml:space="preserve">SANTOS </t>
  </si>
  <si>
    <t>FERNANDO ALEJANDRO</t>
  </si>
  <si>
    <t>CEB969</t>
  </si>
  <si>
    <t>SANTUCHO</t>
  </si>
  <si>
    <t>RAFAELA ADRIANA</t>
  </si>
  <si>
    <t>COH110</t>
  </si>
  <si>
    <t>SARANDON</t>
  </si>
  <si>
    <t>AAM816</t>
  </si>
  <si>
    <t>SARTO</t>
  </si>
  <si>
    <t>JUAN MARCELO</t>
  </si>
  <si>
    <t>CYP948</t>
  </si>
  <si>
    <t>SAUCEDO</t>
  </si>
  <si>
    <t>MANUEL BELGRANO</t>
  </si>
  <si>
    <t>IAF208</t>
  </si>
  <si>
    <t>SAVAZZINI</t>
  </si>
  <si>
    <t>AZV102</t>
  </si>
  <si>
    <t>GUSTAVO NESTOR</t>
  </si>
  <si>
    <t>AA215QU</t>
  </si>
  <si>
    <t>SAYAGO</t>
  </si>
  <si>
    <t>ROLANDO ALFREDO</t>
  </si>
  <si>
    <t>SMC642</t>
  </si>
  <si>
    <t>SAYAVEDRA</t>
  </si>
  <si>
    <t>LILIANA</t>
  </si>
  <si>
    <t>RHZ240</t>
  </si>
  <si>
    <t>SCARFONE</t>
  </si>
  <si>
    <t>WSE407</t>
  </si>
  <si>
    <t>GERARDO DAMIAN</t>
  </si>
  <si>
    <t>BQT333</t>
  </si>
  <si>
    <t>A161MXC</t>
  </si>
  <si>
    <t>SCRAZOLO</t>
  </si>
  <si>
    <t>ANGEL MATIAS</t>
  </si>
  <si>
    <t>KTH258</t>
  </si>
  <si>
    <t>ISAAC DANIEL</t>
  </si>
  <si>
    <t>608ITB</t>
  </si>
  <si>
    <t>AWF504</t>
  </si>
  <si>
    <t>SEBO</t>
  </si>
  <si>
    <t>RYP004</t>
  </si>
  <si>
    <t>SEDANO</t>
  </si>
  <si>
    <t>CARLOS EMILIO</t>
  </si>
  <si>
    <t>SVE594</t>
  </si>
  <si>
    <t>KQX176</t>
  </si>
  <si>
    <t xml:space="preserve">SEDANO </t>
  </si>
  <si>
    <t>EEI647</t>
  </si>
  <si>
    <t>SEGOVIA</t>
  </si>
  <si>
    <t>HUQ063</t>
  </si>
  <si>
    <t>SEQUEIRA</t>
  </si>
  <si>
    <t>APOLINARIO ANTONIO</t>
  </si>
  <si>
    <t>BWX951</t>
  </si>
  <si>
    <t>DIEGO HERNAN</t>
  </si>
  <si>
    <t>A077DKP</t>
  </si>
  <si>
    <t>Serra</t>
  </si>
  <si>
    <t>Marcos Hernan</t>
  </si>
  <si>
    <t>791ZKY</t>
  </si>
  <si>
    <t xml:space="preserve">SERRANO </t>
  </si>
  <si>
    <t>KTU797</t>
  </si>
  <si>
    <t>AA317AI</t>
  </si>
  <si>
    <t>SETAU</t>
  </si>
  <si>
    <t>CLAUDIO GABRIEL</t>
  </si>
  <si>
    <t>VBH329</t>
  </si>
  <si>
    <t>VKN827</t>
  </si>
  <si>
    <t>SICA</t>
  </si>
  <si>
    <t>AZV260</t>
  </si>
  <si>
    <t>SILVA</t>
  </si>
  <si>
    <t>LAUTARO VICTOR</t>
  </si>
  <si>
    <t>ACD561</t>
  </si>
  <si>
    <t>NICOLAS</t>
  </si>
  <si>
    <t>UKA332</t>
  </si>
  <si>
    <t>SILVEIRA</t>
  </si>
  <si>
    <t>MIGUEL</t>
  </si>
  <si>
    <t>JLK177</t>
  </si>
  <si>
    <t>SOBERON</t>
  </si>
  <si>
    <t>DFW002</t>
  </si>
  <si>
    <t>SOLIS</t>
  </si>
  <si>
    <t>PEDRO LIBRADO</t>
  </si>
  <si>
    <t>CWX071</t>
  </si>
  <si>
    <t>SOLSONA</t>
  </si>
  <si>
    <t>SANTOS HERNAN</t>
  </si>
  <si>
    <t>WBB407</t>
  </si>
  <si>
    <t>BWJ062</t>
  </si>
  <si>
    <t>SOOVERON</t>
  </si>
  <si>
    <t xml:space="preserve">GERMAN DANIEL </t>
  </si>
  <si>
    <t>HEJ943</t>
  </si>
  <si>
    <t>SORGONI</t>
  </si>
  <si>
    <t>FMG183</t>
  </si>
  <si>
    <t>SOSA</t>
  </si>
  <si>
    <t>CARLA NATASHA</t>
  </si>
  <si>
    <t>DTS931</t>
  </si>
  <si>
    <t>FJC494</t>
  </si>
  <si>
    <t>SOSA BOGADO</t>
  </si>
  <si>
    <t>LUCAS ANTONIO</t>
  </si>
  <si>
    <t>SOTO</t>
  </si>
  <si>
    <t>CRISTIAN JAVIER</t>
  </si>
  <si>
    <t>HSX637</t>
  </si>
  <si>
    <t>ALEJANDRO ANIBAL</t>
  </si>
  <si>
    <t>BPB685</t>
  </si>
  <si>
    <t>SPERANZA</t>
  </si>
  <si>
    <t>MARIELA BEATRIZ</t>
  </si>
  <si>
    <t>ASO007</t>
  </si>
  <si>
    <t>SUAREZ</t>
  </si>
  <si>
    <t>LUCIANO GABRIEL</t>
  </si>
  <si>
    <t>AAM906</t>
  </si>
  <si>
    <t>JORGE CARLOS</t>
  </si>
  <si>
    <t>RUB316</t>
  </si>
  <si>
    <t>ANGEL VICENTE</t>
  </si>
  <si>
    <t>GNQ566</t>
  </si>
  <si>
    <t>SUMINA</t>
  </si>
  <si>
    <t xml:space="preserve">DIEGO NELSON </t>
  </si>
  <si>
    <t>ECC797</t>
  </si>
  <si>
    <t>TABOADA</t>
  </si>
  <si>
    <t>CESAR ANTONIO</t>
  </si>
  <si>
    <t>VMZ956</t>
  </si>
  <si>
    <t>SERGIO FERNANDO</t>
  </si>
  <si>
    <t>JRU717</t>
  </si>
  <si>
    <t>TABORDA</t>
  </si>
  <si>
    <t>DIEGO ARIEL</t>
  </si>
  <si>
    <t>GRZ141</t>
  </si>
  <si>
    <t>TANQUIA</t>
  </si>
  <si>
    <t>LEONARDO DAMIAN</t>
  </si>
  <si>
    <t>WNZ900</t>
  </si>
  <si>
    <t>TEBES</t>
  </si>
  <si>
    <t>MARIO ROBERTO</t>
  </si>
  <si>
    <t>DXI276</t>
  </si>
  <si>
    <t>TELES</t>
  </si>
  <si>
    <t>MARCOS DANIEL</t>
  </si>
  <si>
    <t>RKP215</t>
  </si>
  <si>
    <t>TERRENI</t>
  </si>
  <si>
    <t>DANTE EMILIO</t>
  </si>
  <si>
    <t>TOL604</t>
  </si>
  <si>
    <t>TEVEZ</t>
  </si>
  <si>
    <t xml:space="preserve"> ALAIN MAXIMILIANO ADRIEL</t>
  </si>
  <si>
    <t>EZG635</t>
  </si>
  <si>
    <t>CARLOS SANTIAGO</t>
  </si>
  <si>
    <t>FKA611</t>
  </si>
  <si>
    <t>TIKLE</t>
  </si>
  <si>
    <t>LUIS GUILLERMO</t>
  </si>
  <si>
    <t>AUA998</t>
  </si>
  <si>
    <t xml:space="preserve">TISSERA </t>
  </si>
  <si>
    <t>DIEGO JUAN ANDRES</t>
  </si>
  <si>
    <t>WZJ157</t>
  </si>
  <si>
    <t>PEDRO LUIS</t>
  </si>
  <si>
    <t>KEA236</t>
  </si>
  <si>
    <t>VICTOR EMMANUEL</t>
  </si>
  <si>
    <t>TJV825</t>
  </si>
  <si>
    <t>TIVERO</t>
  </si>
  <si>
    <t>ALAN ALEJANDRO</t>
  </si>
  <si>
    <t>BMU289</t>
  </si>
  <si>
    <t>TOLEDO</t>
  </si>
  <si>
    <t xml:space="preserve">NATALIA DE LOS ANGELES </t>
  </si>
  <si>
    <t>SVR500</t>
  </si>
  <si>
    <t>OBC488</t>
  </si>
  <si>
    <t>TOLOZA</t>
  </si>
  <si>
    <t>ESE705</t>
  </si>
  <si>
    <t>TORRES</t>
  </si>
  <si>
    <t>MAYRA SOLEDAD</t>
  </si>
  <si>
    <t>SEM396</t>
  </si>
  <si>
    <t>CRISTIAN SEBASTIAN</t>
  </si>
  <si>
    <t>BZQ609</t>
  </si>
  <si>
    <t>HUGO SALVADOR</t>
  </si>
  <si>
    <t>WQL972</t>
  </si>
  <si>
    <t>LUCIANO IVAN</t>
  </si>
  <si>
    <t>CBO900</t>
  </si>
  <si>
    <t>BVL822</t>
  </si>
  <si>
    <t xml:space="preserve">DANIEL </t>
  </si>
  <si>
    <t>VTN598</t>
  </si>
  <si>
    <t>ADRIAN JUAN CARLOS</t>
  </si>
  <si>
    <t>WAL978</t>
  </si>
  <si>
    <t>TOMAS MAXIMILIANO</t>
  </si>
  <si>
    <t>DTE705</t>
  </si>
  <si>
    <t>EUSEBIO MAX</t>
  </si>
  <si>
    <t>FPU493</t>
  </si>
  <si>
    <t xml:space="preserve">TORRES </t>
  </si>
  <si>
    <t>ROLANDO ANDRES</t>
  </si>
  <si>
    <t>WVO580</t>
  </si>
  <si>
    <t>TORRES RIVERO</t>
  </si>
  <si>
    <t>GIO045</t>
  </si>
  <si>
    <t>TORRESI</t>
  </si>
  <si>
    <t>JONATAN OSVALDO</t>
  </si>
  <si>
    <t>AXZ234</t>
  </si>
  <si>
    <t>TORREZ</t>
  </si>
  <si>
    <t>ANTONIO RAMIRO</t>
  </si>
  <si>
    <t>DJE931</t>
  </si>
  <si>
    <t>TORREZ ANTONIO</t>
  </si>
  <si>
    <t>RAMIRO</t>
  </si>
  <si>
    <t>KEA761</t>
  </si>
  <si>
    <t>TRAVIGANTI GIANNOTTI</t>
  </si>
  <si>
    <t xml:space="preserve">JAUN CRUZ </t>
  </si>
  <si>
    <t>CHI960</t>
  </si>
  <si>
    <t>TRINIDAD</t>
  </si>
  <si>
    <t>ROCIO SOLEDAD</t>
  </si>
  <si>
    <t>KUZ906</t>
  </si>
  <si>
    <t>TRINIDAD ACOSTA</t>
  </si>
  <si>
    <t>ELENO</t>
  </si>
  <si>
    <t>TLK674</t>
  </si>
  <si>
    <t>TRONCOSO</t>
  </si>
  <si>
    <t>ELIAN DAVID</t>
  </si>
  <si>
    <t>CJB470</t>
  </si>
  <si>
    <t>TURANO</t>
  </si>
  <si>
    <t>CARLOS CONRADO</t>
  </si>
  <si>
    <t>HDL653</t>
  </si>
  <si>
    <t>UMAÑO</t>
  </si>
  <si>
    <t>ALFREDO CHRISTIAN</t>
  </si>
  <si>
    <t>DMY072</t>
  </si>
  <si>
    <t>VADALA</t>
  </si>
  <si>
    <t>JONATAN DAVID</t>
  </si>
  <si>
    <t>201JTM</t>
  </si>
  <si>
    <t>596HRT</t>
  </si>
  <si>
    <t>BYH069</t>
  </si>
  <si>
    <t>CRISTIAN EMANUEL</t>
  </si>
  <si>
    <t>GOU851</t>
  </si>
  <si>
    <t>ANTONIO HUGO</t>
  </si>
  <si>
    <t>HCD781</t>
  </si>
  <si>
    <t>VALDIVIA</t>
  </si>
  <si>
    <t>RAUL ESTEBAN</t>
  </si>
  <si>
    <t>FGW092</t>
  </si>
  <si>
    <t>VALENZUELA</t>
  </si>
  <si>
    <t>EFQ487</t>
  </si>
  <si>
    <t xml:space="preserve">VALENZUELA </t>
  </si>
  <si>
    <t>568GLS</t>
  </si>
  <si>
    <t>VALLEJOS</t>
  </si>
  <si>
    <t>MARIO GABRIEL</t>
  </si>
  <si>
    <t>BNA641</t>
  </si>
  <si>
    <t>OGT198</t>
  </si>
  <si>
    <t xml:space="preserve">JOSE LUIS </t>
  </si>
  <si>
    <t>NLS001</t>
  </si>
  <si>
    <t>NICOLAS SALOMON</t>
  </si>
  <si>
    <t>KUF089</t>
  </si>
  <si>
    <t>VARA</t>
  </si>
  <si>
    <t>CARLA MIGUELA</t>
  </si>
  <si>
    <t>GBJ694</t>
  </si>
  <si>
    <t>VARGAS</t>
  </si>
  <si>
    <t>JUAN IGNACIO</t>
  </si>
  <si>
    <t>SLH119</t>
  </si>
  <si>
    <t>DAIANA ISABEL</t>
  </si>
  <si>
    <t>ALK685</t>
  </si>
  <si>
    <t>ESTEBAN EULOGIO</t>
  </si>
  <si>
    <t>BJW531</t>
  </si>
  <si>
    <t>XEE378</t>
  </si>
  <si>
    <t>VASSALLO</t>
  </si>
  <si>
    <t>VXA351</t>
  </si>
  <si>
    <t>VAY</t>
  </si>
  <si>
    <t>JUJ907</t>
  </si>
  <si>
    <t xml:space="preserve">VAZQUEZ </t>
  </si>
  <si>
    <t>JAVIER</t>
  </si>
  <si>
    <t>SRY477</t>
  </si>
  <si>
    <t>TPH478</t>
  </si>
  <si>
    <t>DANIEL ENRIQUE</t>
  </si>
  <si>
    <t>DCO237</t>
  </si>
  <si>
    <t>GASTON FEDERICO</t>
  </si>
  <si>
    <t>ESA017</t>
  </si>
  <si>
    <t>VELEZ</t>
  </si>
  <si>
    <t>NAHUEL OSCAR</t>
  </si>
  <si>
    <t>MEM874</t>
  </si>
  <si>
    <t>AOT097</t>
  </si>
  <si>
    <t>VELAY</t>
  </si>
  <si>
    <t>LUCAS CLAUDIO</t>
  </si>
  <si>
    <t>BDP684</t>
  </si>
  <si>
    <t>VENTURINO</t>
  </si>
  <si>
    <t>FFW832</t>
  </si>
  <si>
    <t>VERA</t>
  </si>
  <si>
    <t>FABIAN ALEJANDRO</t>
  </si>
  <si>
    <t>VCG179</t>
  </si>
  <si>
    <t>ROBUSTINO OSCAR</t>
  </si>
  <si>
    <t>AA232WZ</t>
  </si>
  <si>
    <t>VERA CHAMORRO</t>
  </si>
  <si>
    <t>EDUARDO RAMON</t>
  </si>
  <si>
    <t>AEW690</t>
  </si>
  <si>
    <t>VERA IBAÑEZ</t>
  </si>
  <si>
    <t>VIVIANA GRACIELA</t>
  </si>
  <si>
    <t>GKD626</t>
  </si>
  <si>
    <t>VERGARA</t>
  </si>
  <si>
    <t>DANIEL ANTONIO</t>
  </si>
  <si>
    <t>DWX056</t>
  </si>
  <si>
    <t>VERON</t>
  </si>
  <si>
    <t>ALBERTO</t>
  </si>
  <si>
    <t>AC571JD</t>
  </si>
  <si>
    <t>CRISTIAN EMMANUEL</t>
  </si>
  <si>
    <t>BCZ622</t>
  </si>
  <si>
    <t>356DXK</t>
  </si>
  <si>
    <t>AKY156</t>
  </si>
  <si>
    <t xml:space="preserve">VERON </t>
  </si>
  <si>
    <t>DIEGO SEBASTIAN</t>
  </si>
  <si>
    <t>BJY074</t>
  </si>
  <si>
    <t>SERGIO MARIANO</t>
  </si>
  <si>
    <t>KEZ737</t>
  </si>
  <si>
    <t>ORLANDO EDILVERTO</t>
  </si>
  <si>
    <t>DSB919</t>
  </si>
  <si>
    <t>VESNER</t>
  </si>
  <si>
    <t>SEBASTIAN GABRIEL</t>
  </si>
  <si>
    <t>IMV246</t>
  </si>
  <si>
    <t>VICARIO CORNEJO</t>
  </si>
  <si>
    <t>FRANCISCO RODRIGO</t>
  </si>
  <si>
    <t>BWK128</t>
  </si>
  <si>
    <t>VICCINI</t>
  </si>
  <si>
    <t>AUP711</t>
  </si>
  <si>
    <t>VICENTE</t>
  </si>
  <si>
    <t>JAVIER OMAR</t>
  </si>
  <si>
    <t>SMD755</t>
  </si>
  <si>
    <t>VIDELA</t>
  </si>
  <si>
    <t>AARON EDUARDO</t>
  </si>
  <si>
    <t>SOI112</t>
  </si>
  <si>
    <t>VIERA(NO ENVIAR MENSAJE)</t>
  </si>
  <si>
    <t>MRS979</t>
  </si>
  <si>
    <t>VIEYRA</t>
  </si>
  <si>
    <t>ROBERTO RAFAEL</t>
  </si>
  <si>
    <t>FWC656</t>
  </si>
  <si>
    <t xml:space="preserve">VIGILE </t>
  </si>
  <si>
    <t>DOV097</t>
  </si>
  <si>
    <t>VIGNAPIANO</t>
  </si>
  <si>
    <t>ALFREDO</t>
  </si>
  <si>
    <t>TCS330</t>
  </si>
  <si>
    <t>VILLA</t>
  </si>
  <si>
    <t>NAHUEL NICOLAS</t>
  </si>
  <si>
    <t>FTD339</t>
  </si>
  <si>
    <t>SAP668</t>
  </si>
  <si>
    <t>VILLAFAÑE</t>
  </si>
  <si>
    <t>JUAN GERONIMO</t>
  </si>
  <si>
    <t>WLX453</t>
  </si>
  <si>
    <t>VILLALBA</t>
  </si>
  <si>
    <t>RGI105</t>
  </si>
  <si>
    <t xml:space="preserve"> LUCAS JUAN</t>
  </si>
  <si>
    <t>FRN261</t>
  </si>
  <si>
    <t xml:space="preserve">VILLALBA </t>
  </si>
  <si>
    <t>125JHZ</t>
  </si>
  <si>
    <t>ELVIO GREGORIO</t>
  </si>
  <si>
    <t>VBC715</t>
  </si>
  <si>
    <t>OMAR TIMOTEO</t>
  </si>
  <si>
    <t>CFZ799</t>
  </si>
  <si>
    <t>VILLALBA FRANCO</t>
  </si>
  <si>
    <t>023LKG</t>
  </si>
  <si>
    <t xml:space="preserve">VILLANUEVA </t>
  </si>
  <si>
    <t>ALEJANDRO DAMIAN</t>
  </si>
  <si>
    <t>AZC690</t>
  </si>
  <si>
    <t>LEONEL ALEXIS</t>
  </si>
  <si>
    <t>UIL367</t>
  </si>
  <si>
    <t>VILLARREAL</t>
  </si>
  <si>
    <t>SANTOS HERMOGENES</t>
  </si>
  <si>
    <t>RFR993</t>
  </si>
  <si>
    <t>VILLARROEL</t>
  </si>
  <si>
    <t>ATILIO</t>
  </si>
  <si>
    <t>GNG178</t>
  </si>
  <si>
    <t>VILLARRUEL</t>
  </si>
  <si>
    <t>FACUNDO SEBASTIAN</t>
  </si>
  <si>
    <t>CKR087</t>
  </si>
  <si>
    <t>VILLASANTI</t>
  </si>
  <si>
    <t>HLB312</t>
  </si>
  <si>
    <t>VISCELLI</t>
  </si>
  <si>
    <t>JORGE ADALBERTO</t>
  </si>
  <si>
    <t>CAD305</t>
  </si>
  <si>
    <t>YAÑEZ</t>
  </si>
  <si>
    <t>ERICA MELISA</t>
  </si>
  <si>
    <t>SWM988</t>
  </si>
  <si>
    <t>ZABALA</t>
  </si>
  <si>
    <t>UPN144</t>
  </si>
  <si>
    <t>ZALAZAR</t>
  </si>
  <si>
    <t>VPH074</t>
  </si>
  <si>
    <t>111IZX</t>
  </si>
  <si>
    <t>MQT142</t>
  </si>
  <si>
    <t>XBW174</t>
  </si>
  <si>
    <t>ZANELLI</t>
  </si>
  <si>
    <t>BSS926</t>
  </si>
  <si>
    <t>ZAPATA</t>
  </si>
  <si>
    <t>NESTOR MIGUEL GONZALO</t>
  </si>
  <si>
    <t>CRY296</t>
  </si>
  <si>
    <t>FRANCISCO NAHUEL</t>
  </si>
  <si>
    <t>BNZ526</t>
  </si>
  <si>
    <t>DAVID NICOLAS</t>
  </si>
  <si>
    <t>BVA059</t>
  </si>
  <si>
    <t>JONATAN OMAR</t>
  </si>
  <si>
    <t>NOESTA</t>
  </si>
  <si>
    <t>TJA572</t>
  </si>
  <si>
    <t>ZARA ZARAGOZA</t>
  </si>
  <si>
    <t>ZARATE</t>
  </si>
  <si>
    <t>HECTOR</t>
  </si>
  <si>
    <t>FDJ200</t>
  </si>
  <si>
    <t>ZELAYA RIOS</t>
  </si>
  <si>
    <t>ARIEL OSCAR</t>
  </si>
  <si>
    <t>MMI080</t>
  </si>
  <si>
    <t>LORENZO OSCAR</t>
  </si>
  <si>
    <t>SFC511</t>
  </si>
  <si>
    <t>ZUBELZA</t>
  </si>
  <si>
    <t>ROBERTO OSCAR</t>
  </si>
  <si>
    <t>DDV502</t>
  </si>
  <si>
    <t>ZUBIETA</t>
  </si>
  <si>
    <t>LUIS VILFREDO</t>
  </si>
  <si>
    <t>UOI154</t>
  </si>
  <si>
    <t>276IOS</t>
  </si>
  <si>
    <t>MVG693</t>
  </si>
  <si>
    <t>LEMA</t>
  </si>
  <si>
    <t>RODRIGO EMMANUEL</t>
  </si>
  <si>
    <t>JOG684</t>
  </si>
  <si>
    <t xml:space="preserve"> DAVID RAFAEL</t>
  </si>
  <si>
    <t>RNB887</t>
  </si>
  <si>
    <t>CRESPO</t>
  </si>
  <si>
    <t>HQV750</t>
  </si>
  <si>
    <t>NAT115</t>
  </si>
  <si>
    <t xml:space="preserve"> RUBEN DARIO </t>
  </si>
  <si>
    <t xml:space="preserve"> HKW067</t>
  </si>
  <si>
    <t>BERNARDO MAURICIO</t>
  </si>
  <si>
    <t>CQW492</t>
  </si>
  <si>
    <t>RODIGUEZ</t>
  </si>
  <si>
    <t>ENO470</t>
  </si>
  <si>
    <t>VQQ103</t>
  </si>
  <si>
    <t>CARROTA</t>
  </si>
  <si>
    <t>JONATHAN</t>
  </si>
  <si>
    <t>HDI248</t>
  </si>
  <si>
    <t>TAO612</t>
  </si>
  <si>
    <t>NOLASCO DOMINGO</t>
  </si>
  <si>
    <t>CKL770</t>
  </si>
  <si>
    <t xml:space="preserve">DIAZ </t>
  </si>
  <si>
    <t>SERGIO ALBERTO</t>
  </si>
  <si>
    <t>ROW333</t>
  </si>
  <si>
    <t xml:space="preserve">GARCIA </t>
  </si>
  <si>
    <t>facundo</t>
  </si>
  <si>
    <t>XLA931</t>
  </si>
  <si>
    <t>AGD682</t>
  </si>
  <si>
    <t>YAMIL</t>
  </si>
  <si>
    <t>1001IXE869</t>
  </si>
  <si>
    <t>HUGO</t>
  </si>
  <si>
    <t>ARB024</t>
  </si>
  <si>
    <t>PAOLA SOLEDAD</t>
  </si>
  <si>
    <t>OXF251</t>
  </si>
  <si>
    <t>MATO</t>
  </si>
  <si>
    <t>WWF491</t>
  </si>
  <si>
    <t>DE LUCA</t>
  </si>
  <si>
    <t>CDN422</t>
  </si>
  <si>
    <t>CAFARDO</t>
  </si>
  <si>
    <t>GASTON ALBERTO</t>
  </si>
  <si>
    <t>TAY087</t>
  </si>
  <si>
    <t>TALAVERA</t>
  </si>
  <si>
    <t>ANIBAL DAMIAN</t>
  </si>
  <si>
    <t>KFN894</t>
  </si>
  <si>
    <t>OWW239</t>
  </si>
  <si>
    <t>SANDRA BEATRIZ</t>
  </si>
  <si>
    <t>RPU274</t>
  </si>
  <si>
    <t>FABRICIO CARLOS</t>
  </si>
  <si>
    <t>EPB535</t>
  </si>
  <si>
    <t>BERNABEZ</t>
  </si>
  <si>
    <t>BKA102</t>
  </si>
  <si>
    <t>JOSE MARIA</t>
  </si>
  <si>
    <t>CDC815</t>
  </si>
  <si>
    <t>HORACIO ALBERTO</t>
  </si>
  <si>
    <t>CWQ655</t>
  </si>
  <si>
    <t>BRENDA ELIANA</t>
  </si>
  <si>
    <t>HNU954</t>
  </si>
  <si>
    <t>TOK024</t>
  </si>
  <si>
    <t>BORIS DANIEL</t>
  </si>
  <si>
    <t>KKL603</t>
  </si>
  <si>
    <t>UOR212</t>
  </si>
  <si>
    <t>ONTIVERO</t>
  </si>
  <si>
    <t>GUSTAVO OMAR</t>
  </si>
  <si>
    <t>ROI024</t>
  </si>
  <si>
    <t>BERNAL</t>
  </si>
  <si>
    <t>FRANCO ISMAEL</t>
  </si>
  <si>
    <t>IUR369</t>
  </si>
  <si>
    <t>EXS851</t>
  </si>
  <si>
    <t>CESAR GABRIEL</t>
  </si>
  <si>
    <t>HDC187</t>
  </si>
  <si>
    <t>WVW826</t>
  </si>
  <si>
    <t>ROSA ISABEL</t>
  </si>
  <si>
    <t>CZQ781</t>
  </si>
  <si>
    <t>TEDESCHI</t>
  </si>
  <si>
    <t>AGUSTIN</t>
  </si>
  <si>
    <t>AD772AF</t>
  </si>
  <si>
    <t>GASTON LEONARDO</t>
  </si>
  <si>
    <t>UBA014</t>
  </si>
  <si>
    <t>BARBONA</t>
  </si>
  <si>
    <t>VSM627</t>
  </si>
  <si>
    <t>RUBEN ALEJANDRO</t>
  </si>
  <si>
    <t>BARRIONUEVO</t>
  </si>
  <si>
    <t>NESTOR ARMANDO</t>
  </si>
  <si>
    <t>CDZ246</t>
  </si>
  <si>
    <t>BORGHETTI</t>
  </si>
  <si>
    <t>NICOLAS DANIEL</t>
  </si>
  <si>
    <t>CJK442</t>
  </si>
  <si>
    <t>AGUDO</t>
  </si>
  <si>
    <t>PEDRO JOSE</t>
  </si>
  <si>
    <t>HAW364</t>
  </si>
  <si>
    <t xml:space="preserve">ALMIRON </t>
  </si>
  <si>
    <t xml:space="preserve">VICTOR MANUEL </t>
  </si>
  <si>
    <t>OTJ681</t>
  </si>
  <si>
    <t>KAMINSKI</t>
  </si>
  <si>
    <t>BKX651</t>
  </si>
  <si>
    <t>GSG487</t>
  </si>
  <si>
    <t>GERARDO</t>
  </si>
  <si>
    <t>BOK005</t>
  </si>
  <si>
    <t>DAVID</t>
  </si>
  <si>
    <t>ERC172</t>
  </si>
  <si>
    <t>AEP858</t>
  </si>
  <si>
    <t>TISERA</t>
  </si>
  <si>
    <t>VICTOR</t>
  </si>
  <si>
    <t>REX460</t>
  </si>
  <si>
    <t>EDGARDO</t>
  </si>
  <si>
    <t>ADG728</t>
  </si>
  <si>
    <t>MILAGROS LUJAN</t>
  </si>
  <si>
    <t>BXH925</t>
  </si>
  <si>
    <t>RUSSO</t>
  </si>
  <si>
    <t>DAMIAN</t>
  </si>
  <si>
    <t>SFN201</t>
  </si>
  <si>
    <t>LEGUISAMON</t>
  </si>
  <si>
    <t>WPC369</t>
  </si>
  <si>
    <t xml:space="preserve">MATIAS </t>
  </si>
  <si>
    <t>BEG140</t>
  </si>
  <si>
    <t>ARMATA</t>
  </si>
  <si>
    <t>RSX887</t>
  </si>
  <si>
    <t>BARATTI</t>
  </si>
  <si>
    <t>BSP644</t>
  </si>
  <si>
    <t xml:space="preserve">LUIS </t>
  </si>
  <si>
    <t>SNK625</t>
  </si>
  <si>
    <t>ANS058</t>
  </si>
  <si>
    <t>DE LAS NIEVAS</t>
  </si>
  <si>
    <t>FRANCO</t>
  </si>
  <si>
    <t>AVE289</t>
  </si>
  <si>
    <t>SZQ743</t>
  </si>
  <si>
    <t>VLD831</t>
  </si>
  <si>
    <t>26/1024</t>
  </si>
  <si>
    <t>HBX035</t>
  </si>
  <si>
    <t>ANA LORENA</t>
  </si>
  <si>
    <t>AC485TF</t>
  </si>
  <si>
    <t>GUSTAVO ANDRES</t>
  </si>
  <si>
    <t>ETT608</t>
  </si>
  <si>
    <t>EDUARDO ALEJANDRO</t>
  </si>
  <si>
    <t>KPR546</t>
  </si>
  <si>
    <t xml:space="preserve">MARTIN </t>
  </si>
  <si>
    <t>MARTIN DAVID</t>
  </si>
  <si>
    <t>11 2285-1660</t>
  </si>
  <si>
    <t>XGA037</t>
  </si>
  <si>
    <t>MARTIN</t>
  </si>
  <si>
    <t>VHP575</t>
  </si>
  <si>
    <t>LAUTARO NICOLAS</t>
  </si>
  <si>
    <t>AC829MX</t>
  </si>
  <si>
    <t>ELIANA ESTEFANIA</t>
  </si>
  <si>
    <t>TBS045</t>
  </si>
  <si>
    <t>FJT749</t>
  </si>
  <si>
    <t>INSFRAN ALCARAZ</t>
  </si>
  <si>
    <t>GHB820</t>
  </si>
  <si>
    <t>ALAN FABIAN</t>
  </si>
  <si>
    <t>A049TXS</t>
  </si>
  <si>
    <t>HOH320</t>
  </si>
  <si>
    <t>VICTOR HUGO</t>
  </si>
  <si>
    <t>XAD998</t>
  </si>
  <si>
    <t>410IJS</t>
  </si>
  <si>
    <t>VYV117</t>
  </si>
  <si>
    <t>Telefono</t>
  </si>
  <si>
    <t>NOSEENCONTRO</t>
  </si>
  <si>
    <t>noesta</t>
  </si>
  <si>
    <t>Noseencontro</t>
  </si>
  <si>
    <t>1165209477(NOPAGA)</t>
  </si>
  <si>
    <t>noseencontro</t>
  </si>
  <si>
    <t>NOESTO</t>
  </si>
  <si>
    <t>DADODEBAJA</t>
  </si>
  <si>
    <t>1176489763NOMANDARMENSAJE</t>
  </si>
  <si>
    <t>NOMANDARMENSAJE</t>
  </si>
  <si>
    <t>1126708132(nomandarmensaje)</t>
  </si>
  <si>
    <t>NOTIENE</t>
  </si>
  <si>
    <t>NOESTAELNUMERO</t>
  </si>
  <si>
    <t>1134344607(pidiobaja)</t>
  </si>
  <si>
    <t>NOENVIARMENSAJE</t>
  </si>
  <si>
    <t>NOSEENCONRO</t>
  </si>
  <si>
    <t>ESTAENELTALLER</t>
  </si>
  <si>
    <t>NOSELEENVIAMENSAJES</t>
  </si>
  <si>
    <t>1169584219nolelleganmensajes</t>
  </si>
  <si>
    <t>1133612396SINIESTRO</t>
  </si>
  <si>
    <t>NOENVIARMENSAJE(SINIESTRO)</t>
  </si>
  <si>
    <t>1123228547(SINIESTRO)</t>
  </si>
  <si>
    <t>solicitolabaja</t>
  </si>
  <si>
    <t>1166566220sinwhatsapp</t>
  </si>
  <si>
    <t>1133583007NOMANDARMENSAJE</t>
  </si>
  <si>
    <t>SINIESTRO(1173698995)</t>
  </si>
  <si>
    <t>1133197955(NOENVIARMENSAJE)</t>
  </si>
  <si>
    <t>NOTIENETELEFONO</t>
  </si>
  <si>
    <t>1126627261NOMANDARMENSAJE</t>
  </si>
  <si>
    <t>NOMANDARMENSAJES(1154893893)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</si>
</sst>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charset val="1"/>
    </font>
    <font>
      <sz val="8"/>
      <color rgb="FF000000"/>
      <name val="Verdana"/>
      <charset val="1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49" fontId="4" fillId="0" borderId="0" xfId="0" applyNumberFormat="1" applyFon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" fontId="0" fillId="0" borderId="0" xfId="0" applyNumberFormat="1"/>
    <xf numFmtId="0" fontId="7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wrapText="1"/>
    </xf>
  </cellXfs>
  <cellStyles count="2">
    <cellStyle name="Moneda" xfId="1" builtinId="4"/>
    <cellStyle name="Normal" xfId="0" builtinId="0"/>
  </cellStyles>
  <dxfs count="10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Gomez Thames Estudio" id="{FD4D2656-9879-4365-84BA-FD6DC4C615FC}" userId="51e347e3fff6b34b" providerId="Windows Live"/>
  <person displayName="Franco David Gomez" id="{BEF27B12-01D0-4E5D-AF44-76F7DDA36258}" userId="5ba064fa4409edf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350" totalsRowShown="0">
  <autoFilter ref="C7:Q1350" xr:uid="{00000000-0009-0000-0100-000001000000}"/>
  <sortState xmlns:xlrd2="http://schemas.microsoft.com/office/spreadsheetml/2017/richdata2" ref="C8:Q1263">
    <sortCondition ref="C7:C1263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4" totalsRowDxfId="13"/>
    <tableColumn id="13" xr3:uid="{00000000-0010-0000-0000-00000D000000}" name="Compañia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73" dT="2024-08-24T14:06:19.42" personId="{FD4D2656-9879-4365-84BA-FD6DC4C615FC}" id="{399A79D3-1090-4649-981D-070E2EF78245}">
    <text>NO ESTA EN AGROSALTA, en espera de la baja de su antiguo seguro.</text>
  </threadedComment>
  <threadedComment ref="C479" dT="2024-08-30T21:49:21.72" personId="{BEF27B12-01D0-4E5D-AF44-76F7DDA36258}" id="{2B60538C-A2BE-4FA6-9B9A-BC0F4706A5C8}">
    <text>NO LO PAGA MAS</text>
  </threadedComment>
  <threadedComment ref="C479" dT="2024-08-30T21:49:51.01" personId="{BEF27B12-01D0-4E5D-AF44-76F7DDA36258}" id="{D4285EB1-718A-41D1-82A1-6459B3ABC573}" parentId="{2B60538C-A2BE-4FA6-9B9A-BC0F4706A5C8}">
    <text>DAR DE BAJA!!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350"/>
  <sheetViews>
    <sheetView tabSelected="1" topLeftCell="B31" zoomScaleNormal="100" workbookViewId="0">
      <selection activeCell="E44" sqref="E1:E1048576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14.42578125" customWidth="1"/>
    <col min="12" max="12" width="16" style="25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E1" s="10">
        <v>6</v>
      </c>
      <c r="F1">
        <v>13</v>
      </c>
      <c r="I1">
        <v>14</v>
      </c>
      <c r="J1">
        <v>15</v>
      </c>
      <c r="K1">
        <v>16</v>
      </c>
      <c r="L1" s="25">
        <v>17</v>
      </c>
      <c r="M1">
        <v>18</v>
      </c>
      <c r="N1">
        <v>19</v>
      </c>
      <c r="O1" s="17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5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5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481</v>
      </c>
      <c r="L5" s="25">
        <f ca="1">COUNTIF(CLIENTES[Dias a Vencer],"=0")</f>
        <v>19</v>
      </c>
      <c r="M5">
        <f ca="1">COUNTIFS(CLIENTES[Dias a Vencer],"&gt;0",CLIENTES[Dias a Vencer],"&lt;4")</f>
        <v>63</v>
      </c>
      <c r="N5">
        <f ca="1">COUNTIF(CLIENTES[Dias a Vencer],"&gt;3")</f>
        <v>776</v>
      </c>
    </row>
    <row r="6" spans="1:17" ht="27" customHeight="1" thickBot="1" x14ac:dyDescent="0.3">
      <c r="A6" s="7" t="s">
        <v>8</v>
      </c>
      <c r="D6" s="20"/>
      <c r="E6" s="22"/>
      <c r="I6" s="8" t="s">
        <v>9</v>
      </c>
      <c r="J6" s="9">
        <f ca="1">TODAY()</f>
        <v>45595</v>
      </c>
      <c r="K6" s="12"/>
    </row>
    <row r="7" spans="1:17" x14ac:dyDescent="0.25">
      <c r="B7" s="3"/>
      <c r="C7" t="s">
        <v>10</v>
      </c>
      <c r="D7" t="s">
        <v>11</v>
      </c>
      <c r="E7" s="24" t="s">
        <v>3105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7" t="s">
        <v>18</v>
      </c>
      <c r="M7" t="s">
        <v>19</v>
      </c>
      <c r="N7" s="10" t="s">
        <v>20</v>
      </c>
      <c r="O7" s="18" t="s">
        <v>21</v>
      </c>
      <c r="P7" s="2" t="s">
        <v>22</v>
      </c>
      <c r="Q7" s="2" t="s">
        <v>23</v>
      </c>
    </row>
    <row r="8" spans="1:17" x14ac:dyDescent="0.25">
      <c r="C8" t="s">
        <v>24</v>
      </c>
      <c r="D8" s="3" t="s">
        <v>25</v>
      </c>
      <c r="E8" s="10">
        <v>1150117414</v>
      </c>
      <c r="F8" t="s">
        <v>26</v>
      </c>
      <c r="G8" t="s">
        <v>27</v>
      </c>
      <c r="H8" s="14">
        <v>3</v>
      </c>
      <c r="I8" s="10" t="s">
        <v>28</v>
      </c>
      <c r="J8" s="1">
        <v>45589</v>
      </c>
      <c r="K8" s="1">
        <v>45620</v>
      </c>
      <c r="L8" s="25">
        <f ca="1">CLIENTES[[#This Row],[Fecha Vencimiento]]-$J$6</f>
        <v>25</v>
      </c>
      <c r="M8" s="1"/>
      <c r="N8" s="1" t="str">
        <f t="shared" ref="N8:N71" ca="1" si="0">IF(L8&lt;0,"Vencido",IF(L8=0,"Vence hoy",IF(L8&lt;4,"Por vencer","Al dia")))</f>
        <v>Al dia</v>
      </c>
      <c r="O8" s="19">
        <v>45528</v>
      </c>
      <c r="P8" s="2"/>
      <c r="Q8" s="2">
        <f t="shared" ref="Q8:Q71" si="1">P8-O8</f>
        <v>-45528</v>
      </c>
    </row>
    <row r="9" spans="1:17" x14ac:dyDescent="0.25">
      <c r="B9" s="3"/>
      <c r="C9" s="13" t="s">
        <v>24</v>
      </c>
      <c r="D9" s="13" t="s">
        <v>29</v>
      </c>
      <c r="E9" s="10">
        <v>1166718557</v>
      </c>
      <c r="F9" t="s">
        <v>26</v>
      </c>
      <c r="G9" t="s">
        <v>30</v>
      </c>
      <c r="H9" s="14">
        <v>3</v>
      </c>
      <c r="I9" s="10" t="s">
        <v>28</v>
      </c>
      <c r="J9" s="1">
        <v>45593</v>
      </c>
      <c r="K9" s="1">
        <v>45606</v>
      </c>
      <c r="L9" s="25">
        <f ca="1">CLIENTES[[#This Row],[Fecha Vencimiento]]-$J$6</f>
        <v>11</v>
      </c>
      <c r="N9" s="1" t="str">
        <f t="shared" ca="1" si="0"/>
        <v>Al dia</v>
      </c>
      <c r="O9" s="19"/>
      <c r="P9" s="2"/>
      <c r="Q9" s="2">
        <f t="shared" si="1"/>
        <v>0</v>
      </c>
    </row>
    <row r="10" spans="1:17" x14ac:dyDescent="0.25">
      <c r="B10" s="3"/>
      <c r="C10" s="13" t="s">
        <v>24</v>
      </c>
      <c r="D10" s="13" t="s">
        <v>31</v>
      </c>
      <c r="F10" t="s">
        <v>26</v>
      </c>
      <c r="G10" t="s">
        <v>32</v>
      </c>
      <c r="H10" s="14">
        <v>1</v>
      </c>
      <c r="I10" s="10" t="s">
        <v>28</v>
      </c>
      <c r="J10" s="1">
        <v>45570</v>
      </c>
      <c r="K10" s="1">
        <v>45601</v>
      </c>
      <c r="L10" s="25">
        <f ca="1">CLIENTES[[#This Row],[Fecha Vencimiento]]-$J$6</f>
        <v>6</v>
      </c>
      <c r="N10" s="1" t="str">
        <f t="shared" ca="1" si="0"/>
        <v>Al dia</v>
      </c>
      <c r="O10" s="19">
        <v>45570</v>
      </c>
      <c r="P10" s="2"/>
      <c r="Q10" s="2">
        <f t="shared" si="1"/>
        <v>-45570</v>
      </c>
    </row>
    <row r="11" spans="1:17" x14ac:dyDescent="0.25">
      <c r="B11" s="3"/>
      <c r="C11" t="s">
        <v>33</v>
      </c>
      <c r="D11" s="3" t="s">
        <v>34</v>
      </c>
      <c r="E11" s="10">
        <v>1140452573</v>
      </c>
      <c r="F11" t="s">
        <v>35</v>
      </c>
      <c r="G11" t="s">
        <v>36</v>
      </c>
      <c r="H11" s="14">
        <v>3</v>
      </c>
      <c r="I11" s="10" t="s">
        <v>28</v>
      </c>
      <c r="J11" s="1">
        <v>45579</v>
      </c>
      <c r="K11" s="1">
        <v>45611</v>
      </c>
      <c r="L11" s="25">
        <f ca="1">CLIENTES[[#This Row],[Fecha Vencimiento]]-$J$6</f>
        <v>16</v>
      </c>
      <c r="M11" s="1"/>
      <c r="N11" s="1" t="str">
        <f t="shared" ca="1" si="0"/>
        <v>Al dia</v>
      </c>
      <c r="O11" s="19"/>
      <c r="P11" s="2"/>
      <c r="Q11" s="2">
        <f t="shared" si="1"/>
        <v>0</v>
      </c>
    </row>
    <row r="12" spans="1:17" x14ac:dyDescent="0.25">
      <c r="B12" s="3"/>
      <c r="C12" s="13" t="s">
        <v>37</v>
      </c>
      <c r="D12" s="13" t="s">
        <v>38</v>
      </c>
      <c r="E12" s="10">
        <v>1128870247</v>
      </c>
      <c r="F12" t="s">
        <v>26</v>
      </c>
      <c r="G12" t="s">
        <v>39</v>
      </c>
      <c r="H12" s="14">
        <v>1</v>
      </c>
      <c r="I12" s="10" t="s">
        <v>28</v>
      </c>
      <c r="J12" s="1">
        <v>45562</v>
      </c>
      <c r="K12" s="1">
        <v>45592</v>
      </c>
      <c r="L12" s="25">
        <f ca="1">CLIENTES[[#This Row],[Fecha Vencimiento]]-$J$6</f>
        <v>-3</v>
      </c>
      <c r="N12" s="1" t="str">
        <f t="shared" ca="1" si="0"/>
        <v>Vencido</v>
      </c>
      <c r="O12" s="19"/>
      <c r="P12" s="2"/>
      <c r="Q12" s="2">
        <f t="shared" si="1"/>
        <v>0</v>
      </c>
    </row>
    <row r="13" spans="1:17" x14ac:dyDescent="0.25">
      <c r="B13" s="3"/>
      <c r="C13" s="13" t="s">
        <v>37</v>
      </c>
      <c r="D13" s="13" t="s">
        <v>40</v>
      </c>
      <c r="E13" s="10">
        <v>1125131364</v>
      </c>
      <c r="F13" t="s">
        <v>26</v>
      </c>
      <c r="G13" t="s">
        <v>41</v>
      </c>
      <c r="H13" s="14">
        <v>2</v>
      </c>
      <c r="I13" s="10" t="s">
        <v>28</v>
      </c>
      <c r="J13" s="1">
        <v>45568</v>
      </c>
      <c r="K13" s="1">
        <v>45603</v>
      </c>
      <c r="L13" s="25">
        <f ca="1">CLIENTES[[#This Row],[Fecha Vencimiento]]-$J$6</f>
        <v>8</v>
      </c>
      <c r="N13" s="1" t="str">
        <f t="shared" ca="1" si="0"/>
        <v>Al dia</v>
      </c>
      <c r="O13" s="19">
        <v>45542</v>
      </c>
      <c r="P13" s="2"/>
      <c r="Q13" s="2">
        <f t="shared" si="1"/>
        <v>-45542</v>
      </c>
    </row>
    <row r="14" spans="1:17" x14ac:dyDescent="0.25">
      <c r="B14" s="3"/>
      <c r="C14" s="13" t="s">
        <v>37</v>
      </c>
      <c r="D14" s="13" t="s">
        <v>42</v>
      </c>
      <c r="F14" t="s">
        <v>26</v>
      </c>
      <c r="G14" t="s">
        <v>43</v>
      </c>
      <c r="I14" s="10" t="s">
        <v>28</v>
      </c>
      <c r="J14" s="1">
        <v>45458</v>
      </c>
      <c r="K14" s="1">
        <v>45488</v>
      </c>
      <c r="L14" s="25">
        <f ca="1">CLIENTES[[#This Row],[Fecha Vencimiento]]-$J$6</f>
        <v>-107</v>
      </c>
      <c r="N14" s="1" t="str">
        <f t="shared" ca="1" si="0"/>
        <v>Vencido</v>
      </c>
      <c r="O14" s="19"/>
      <c r="P14" s="2"/>
      <c r="Q14" s="2">
        <f t="shared" si="1"/>
        <v>0</v>
      </c>
    </row>
    <row r="15" spans="1:17" x14ac:dyDescent="0.25">
      <c r="B15" s="3"/>
      <c r="C15" s="13" t="s">
        <v>37</v>
      </c>
      <c r="D15" s="13" t="s">
        <v>44</v>
      </c>
      <c r="E15" s="10">
        <v>1160132544</v>
      </c>
      <c r="F15" t="s">
        <v>26</v>
      </c>
      <c r="G15" t="s">
        <v>45</v>
      </c>
      <c r="H15" s="14">
        <v>5</v>
      </c>
      <c r="I15" s="10" t="s">
        <v>28</v>
      </c>
      <c r="J15" s="1">
        <v>45565</v>
      </c>
      <c r="K15" s="1">
        <v>45595</v>
      </c>
      <c r="L15" s="25">
        <f ca="1">CLIENTES[[#This Row],[Fecha Vencimiento]]-$J$6</f>
        <v>0</v>
      </c>
      <c r="N15" s="1" t="str">
        <f t="shared" ca="1" si="0"/>
        <v>Vence hoy</v>
      </c>
      <c r="O15" s="19"/>
      <c r="P15" s="2"/>
      <c r="Q15" s="2">
        <f t="shared" si="1"/>
        <v>0</v>
      </c>
    </row>
    <row r="16" spans="1:17" x14ac:dyDescent="0.25">
      <c r="B16" s="3"/>
      <c r="C16" s="13" t="s">
        <v>37</v>
      </c>
      <c r="D16" s="13" t="s">
        <v>46</v>
      </c>
      <c r="E16" s="10">
        <v>1134667038</v>
      </c>
      <c r="F16" t="s">
        <v>26</v>
      </c>
      <c r="G16" t="s">
        <v>47</v>
      </c>
      <c r="H16" s="14">
        <v>4</v>
      </c>
      <c r="I16" s="10" t="s">
        <v>28</v>
      </c>
      <c r="J16" s="1">
        <v>45540</v>
      </c>
      <c r="K16" s="1">
        <v>45570</v>
      </c>
      <c r="L16" s="25">
        <f ca="1">CLIENTES[[#This Row],[Fecha Vencimiento]]-$J$6</f>
        <v>-25</v>
      </c>
      <c r="N16" s="1" t="str">
        <f t="shared" ca="1" si="0"/>
        <v>Vencido</v>
      </c>
      <c r="O16" s="19"/>
      <c r="P16" s="2"/>
      <c r="Q16" s="2">
        <f t="shared" si="1"/>
        <v>0</v>
      </c>
    </row>
    <row r="17" spans="2:17" x14ac:dyDescent="0.25">
      <c r="B17" s="3"/>
      <c r="C17" s="13" t="s">
        <v>37</v>
      </c>
      <c r="D17" s="13" t="s">
        <v>40</v>
      </c>
      <c r="E17" s="10">
        <v>1125131364</v>
      </c>
      <c r="F17" t="s">
        <v>26</v>
      </c>
      <c r="G17" t="s">
        <v>48</v>
      </c>
      <c r="H17" s="14">
        <v>5</v>
      </c>
      <c r="I17" s="10" t="s">
        <v>28</v>
      </c>
      <c r="J17" s="1">
        <v>45568</v>
      </c>
      <c r="K17" s="1">
        <v>45599</v>
      </c>
      <c r="L17" s="25">
        <f ca="1">CLIENTES[[#This Row],[Fecha Vencimiento]]-$J$6</f>
        <v>4</v>
      </c>
      <c r="N17" s="1" t="str">
        <f t="shared" ca="1" si="0"/>
        <v>Al dia</v>
      </c>
      <c r="O17" s="19"/>
      <c r="P17" s="2"/>
      <c r="Q17" s="2">
        <f t="shared" si="1"/>
        <v>0</v>
      </c>
    </row>
    <row r="18" spans="2:17" x14ac:dyDescent="0.25">
      <c r="B18" s="3"/>
      <c r="C18" s="13" t="s">
        <v>37</v>
      </c>
      <c r="D18" s="13" t="s">
        <v>49</v>
      </c>
      <c r="E18" s="10" t="s">
        <v>2931</v>
      </c>
      <c r="F18" t="s">
        <v>26</v>
      </c>
      <c r="G18" t="s">
        <v>50</v>
      </c>
      <c r="H18" s="14">
        <v>5</v>
      </c>
      <c r="I18" s="10" t="s">
        <v>28</v>
      </c>
      <c r="J18" s="1">
        <v>45569</v>
      </c>
      <c r="K18" s="1">
        <v>45597</v>
      </c>
      <c r="L18" s="25">
        <f ca="1">CLIENTES[[#This Row],[Fecha Vencimiento]]-$J$6</f>
        <v>2</v>
      </c>
      <c r="N18" s="1" t="str">
        <f t="shared" ca="1" si="0"/>
        <v>Por vencer</v>
      </c>
      <c r="O18" s="19"/>
      <c r="P18" s="2"/>
      <c r="Q18" s="2">
        <f t="shared" si="1"/>
        <v>0</v>
      </c>
    </row>
    <row r="19" spans="2:17" x14ac:dyDescent="0.25">
      <c r="B19" s="3"/>
      <c r="C19" s="13" t="s">
        <v>37</v>
      </c>
      <c r="D19" s="13" t="s">
        <v>51</v>
      </c>
      <c r="E19" s="10">
        <v>1138699970</v>
      </c>
      <c r="F19" t="s">
        <v>26</v>
      </c>
      <c r="G19" t="s">
        <v>52</v>
      </c>
      <c r="H19" s="14">
        <v>5</v>
      </c>
      <c r="I19" s="10" t="s">
        <v>28</v>
      </c>
      <c r="J19" s="1">
        <v>45563</v>
      </c>
      <c r="K19" s="1">
        <v>45595</v>
      </c>
      <c r="L19" s="25">
        <f ca="1">CLIENTES[[#This Row],[Fecha Vencimiento]]-$J$6</f>
        <v>0</v>
      </c>
      <c r="N19" s="1" t="str">
        <f t="shared" ca="1" si="0"/>
        <v>Vence hoy</v>
      </c>
      <c r="O19" s="19"/>
      <c r="P19" s="2"/>
      <c r="Q19" s="2">
        <f t="shared" si="1"/>
        <v>0</v>
      </c>
    </row>
    <row r="20" spans="2:17" x14ac:dyDescent="0.25">
      <c r="B20" s="3"/>
      <c r="C20" s="13" t="s">
        <v>37</v>
      </c>
      <c r="D20" s="13" t="s">
        <v>53</v>
      </c>
      <c r="E20" s="10">
        <v>1153395252</v>
      </c>
      <c r="F20" t="s">
        <v>35</v>
      </c>
      <c r="G20" t="s">
        <v>54</v>
      </c>
      <c r="I20" s="10" t="s">
        <v>28</v>
      </c>
      <c r="J20" s="1">
        <v>45518</v>
      </c>
      <c r="K20" s="1">
        <v>45549</v>
      </c>
      <c r="L20" s="25">
        <f ca="1">CLIENTES[[#This Row],[Fecha Vencimiento]]-$J$6</f>
        <v>-46</v>
      </c>
      <c r="N20" s="1" t="str">
        <f t="shared" ca="1" si="0"/>
        <v>Vencido</v>
      </c>
      <c r="O20" s="19"/>
      <c r="P20" s="2"/>
      <c r="Q20" s="2">
        <f t="shared" si="1"/>
        <v>0</v>
      </c>
    </row>
    <row r="21" spans="2:17" x14ac:dyDescent="0.25">
      <c r="B21" s="3"/>
      <c r="C21" t="s">
        <v>55</v>
      </c>
      <c r="D21" s="3" t="s">
        <v>56</v>
      </c>
      <c r="E21" s="10" t="s">
        <v>2931</v>
      </c>
      <c r="F21" t="s">
        <v>26</v>
      </c>
      <c r="G21" t="s">
        <v>57</v>
      </c>
      <c r="H21" s="14">
        <v>4</v>
      </c>
      <c r="I21" s="10" t="s">
        <v>28</v>
      </c>
      <c r="J21" s="1">
        <v>45558</v>
      </c>
      <c r="K21" s="1">
        <v>45591</v>
      </c>
      <c r="L21" s="25">
        <f ca="1">CLIENTES[[#This Row],[Fecha Vencimiento]]-$J$6</f>
        <v>-4</v>
      </c>
      <c r="M21" s="1"/>
      <c r="N21" s="1" t="str">
        <f t="shared" ca="1" si="0"/>
        <v>Vencido</v>
      </c>
      <c r="O21" s="19"/>
      <c r="P21" s="2"/>
      <c r="Q21" s="2">
        <f t="shared" si="1"/>
        <v>0</v>
      </c>
    </row>
    <row r="22" spans="2:17" x14ac:dyDescent="0.25">
      <c r="B22" s="3"/>
      <c r="C22" s="13" t="s">
        <v>58</v>
      </c>
      <c r="D22" s="13" t="s">
        <v>59</v>
      </c>
      <c r="E22" s="10">
        <v>1137777972</v>
      </c>
      <c r="F22" t="s">
        <v>26</v>
      </c>
      <c r="G22" t="s">
        <v>60</v>
      </c>
      <c r="H22" s="14">
        <v>5</v>
      </c>
      <c r="I22" s="10" t="s">
        <v>28</v>
      </c>
      <c r="J22" s="1">
        <v>45573</v>
      </c>
      <c r="K22" s="1">
        <v>45602</v>
      </c>
      <c r="L22" s="25">
        <f ca="1">CLIENTES[[#This Row],[Fecha Vencimiento]]-$J$6</f>
        <v>7</v>
      </c>
      <c r="N22" s="1" t="str">
        <f t="shared" ca="1" si="0"/>
        <v>Al dia</v>
      </c>
      <c r="O22" s="19"/>
      <c r="P22" s="2"/>
      <c r="Q22" s="2">
        <f t="shared" si="1"/>
        <v>0</v>
      </c>
    </row>
    <row r="23" spans="2:17" x14ac:dyDescent="0.25">
      <c r="B23" s="3"/>
      <c r="C23" s="13" t="s">
        <v>61</v>
      </c>
      <c r="D23" s="13" t="s">
        <v>62</v>
      </c>
      <c r="E23" s="10">
        <v>1163548553</v>
      </c>
      <c r="F23" t="s">
        <v>26</v>
      </c>
      <c r="G23" t="s">
        <v>63</v>
      </c>
      <c r="H23" s="14">
        <v>6</v>
      </c>
      <c r="I23" s="10" t="s">
        <v>28</v>
      </c>
      <c r="J23" s="1">
        <v>45583</v>
      </c>
      <c r="K23" s="1">
        <v>45612</v>
      </c>
      <c r="L23" s="25">
        <f ca="1">CLIENTES[[#This Row],[Fecha Vencimiento]]-$J$6</f>
        <v>17</v>
      </c>
      <c r="N23" s="1" t="str">
        <f t="shared" ca="1" si="0"/>
        <v>Al dia</v>
      </c>
      <c r="O23" s="19"/>
      <c r="P23" s="2"/>
      <c r="Q23" s="2">
        <f t="shared" si="1"/>
        <v>0</v>
      </c>
    </row>
    <row r="24" spans="2:17" x14ac:dyDescent="0.25">
      <c r="B24" s="3"/>
      <c r="C24" t="s">
        <v>64</v>
      </c>
      <c r="D24" t="s">
        <v>65</v>
      </c>
      <c r="E24" s="10" t="s">
        <v>2931</v>
      </c>
      <c r="F24" t="s">
        <v>26</v>
      </c>
      <c r="G24" t="s">
        <v>66</v>
      </c>
      <c r="H24" s="14">
        <v>2</v>
      </c>
      <c r="I24" s="10" t="s">
        <v>28</v>
      </c>
      <c r="J24" s="1">
        <v>45583</v>
      </c>
      <c r="K24" s="1">
        <v>45593</v>
      </c>
      <c r="L24" s="25">
        <f ca="1">CLIENTES[[#This Row],[Fecha Vencimiento]]-$J$6</f>
        <v>-2</v>
      </c>
      <c r="N24" s="1" t="str">
        <f t="shared" ca="1" si="0"/>
        <v>Vencido</v>
      </c>
      <c r="O24" s="19">
        <v>45532</v>
      </c>
      <c r="P24" s="2"/>
      <c r="Q24" s="2">
        <f t="shared" si="1"/>
        <v>-45532</v>
      </c>
    </row>
    <row r="25" spans="2:17" x14ac:dyDescent="0.25">
      <c r="C25" s="13" t="s">
        <v>67</v>
      </c>
      <c r="D25" s="13" t="s">
        <v>68</v>
      </c>
      <c r="E25" s="10">
        <v>1127177851</v>
      </c>
      <c r="F25" t="s">
        <v>26</v>
      </c>
      <c r="G25" t="s">
        <v>69</v>
      </c>
      <c r="H25" s="14" t="s">
        <v>70</v>
      </c>
      <c r="I25" s="10" t="s">
        <v>28</v>
      </c>
      <c r="J25" s="1">
        <v>45520</v>
      </c>
      <c r="K25" s="1">
        <v>45552</v>
      </c>
      <c r="L25" s="25">
        <f ca="1">CLIENTES[[#This Row],[Fecha Vencimiento]]-$J$6</f>
        <v>-43</v>
      </c>
      <c r="N25" s="1" t="str">
        <f t="shared" ca="1" si="0"/>
        <v>Vencido</v>
      </c>
      <c r="O25" s="19"/>
      <c r="P25" s="2"/>
      <c r="Q25" s="2">
        <f t="shared" si="1"/>
        <v>0</v>
      </c>
    </row>
    <row r="26" spans="2:17" x14ac:dyDescent="0.25">
      <c r="C26" s="13" t="s">
        <v>71</v>
      </c>
      <c r="D26" s="13" t="s">
        <v>72</v>
      </c>
      <c r="E26" s="10">
        <v>1156660995</v>
      </c>
      <c r="F26" t="s">
        <v>73</v>
      </c>
      <c r="G26" t="s">
        <v>74</v>
      </c>
      <c r="H26" s="14">
        <v>5</v>
      </c>
      <c r="I26" s="10" t="s">
        <v>75</v>
      </c>
      <c r="J26" s="1">
        <v>45569</v>
      </c>
      <c r="K26" s="1">
        <v>45597</v>
      </c>
      <c r="L26" s="25">
        <f ca="1">CLIENTES[[#This Row],[Fecha Vencimiento]]-$J$6</f>
        <v>2</v>
      </c>
      <c r="N26" s="1" t="str">
        <f t="shared" ca="1" si="0"/>
        <v>Por vencer</v>
      </c>
      <c r="O26" s="19"/>
      <c r="P26" s="2"/>
      <c r="Q26" s="2">
        <f t="shared" si="1"/>
        <v>0</v>
      </c>
    </row>
    <row r="27" spans="2:17" x14ac:dyDescent="0.25">
      <c r="C27" s="13" t="s">
        <v>71</v>
      </c>
      <c r="D27" s="13" t="s">
        <v>76</v>
      </c>
      <c r="E27" s="10">
        <v>1162093202</v>
      </c>
      <c r="F27" t="s">
        <v>77</v>
      </c>
      <c r="G27" t="s">
        <v>78</v>
      </c>
      <c r="H27" s="14">
        <v>2</v>
      </c>
      <c r="I27" s="10" t="s">
        <v>79</v>
      </c>
      <c r="J27" s="1">
        <v>45561</v>
      </c>
      <c r="K27" s="1">
        <v>45591</v>
      </c>
      <c r="L27" s="25">
        <f ca="1">CLIENTES[[#This Row],[Fecha Vencimiento]]-$J$6</f>
        <v>-4</v>
      </c>
      <c r="N27" s="1" t="str">
        <f t="shared" ca="1" si="0"/>
        <v>Vencido</v>
      </c>
      <c r="O27" s="19"/>
      <c r="P27" s="2"/>
      <c r="Q27" s="2">
        <f t="shared" si="1"/>
        <v>0</v>
      </c>
    </row>
    <row r="28" spans="2:17" x14ac:dyDescent="0.25">
      <c r="C28" s="13" t="s">
        <v>80</v>
      </c>
      <c r="D28" s="13" t="s">
        <v>81</v>
      </c>
      <c r="E28" s="10">
        <v>364400553</v>
      </c>
      <c r="F28" t="s">
        <v>26</v>
      </c>
      <c r="G28" t="s">
        <v>82</v>
      </c>
      <c r="H28" s="14">
        <v>2</v>
      </c>
      <c r="I28" s="10" t="s">
        <v>28</v>
      </c>
      <c r="J28" s="1">
        <v>45569</v>
      </c>
      <c r="K28" s="1">
        <v>45600</v>
      </c>
      <c r="L28" s="25">
        <f ca="1">CLIENTES[[#This Row],[Fecha Vencimiento]]-$J$6</f>
        <v>5</v>
      </c>
      <c r="N28" s="1" t="str">
        <f t="shared" ca="1" si="0"/>
        <v>Al dia</v>
      </c>
      <c r="O28" s="19">
        <v>45539</v>
      </c>
      <c r="P28" s="2"/>
      <c r="Q28" s="2">
        <f t="shared" si="1"/>
        <v>-45539</v>
      </c>
    </row>
    <row r="29" spans="2:17" x14ac:dyDescent="0.25">
      <c r="C29" s="13" t="s">
        <v>80</v>
      </c>
      <c r="D29" s="13" t="s">
        <v>83</v>
      </c>
      <c r="F29" t="s">
        <v>26</v>
      </c>
      <c r="G29" t="s">
        <v>84</v>
      </c>
      <c r="H29" s="14">
        <v>4</v>
      </c>
      <c r="I29" s="10" t="s">
        <v>28</v>
      </c>
      <c r="J29" s="1">
        <v>45575</v>
      </c>
      <c r="K29" s="1">
        <v>45618</v>
      </c>
      <c r="L29" s="25">
        <f ca="1">CLIENTES[[#This Row],[Fecha Vencimiento]]-$J$6</f>
        <v>23</v>
      </c>
      <c r="N29" s="1" t="str">
        <f t="shared" ca="1" si="0"/>
        <v>Al dia</v>
      </c>
      <c r="O29" s="19"/>
      <c r="P29" s="2"/>
      <c r="Q29" s="2">
        <f t="shared" si="1"/>
        <v>0</v>
      </c>
    </row>
    <row r="30" spans="2:17" x14ac:dyDescent="0.25">
      <c r="C30" s="13" t="s">
        <v>80</v>
      </c>
      <c r="D30" s="13" t="s">
        <v>85</v>
      </c>
      <c r="F30" t="s">
        <v>26</v>
      </c>
      <c r="G30" t="s">
        <v>86</v>
      </c>
      <c r="H30" s="14">
        <v>1</v>
      </c>
      <c r="I30" s="10" t="s">
        <v>28</v>
      </c>
      <c r="J30" s="1">
        <v>45569</v>
      </c>
      <c r="K30" s="1">
        <v>45600</v>
      </c>
      <c r="L30" s="25">
        <f ca="1">CLIENTES[[#This Row],[Fecha Vencimiento]]-$J$6</f>
        <v>5</v>
      </c>
      <c r="N30" s="1" t="str">
        <f t="shared" ca="1" si="0"/>
        <v>Al dia</v>
      </c>
      <c r="O30" s="19">
        <v>45569</v>
      </c>
      <c r="P30" s="2"/>
      <c r="Q30" s="2">
        <f t="shared" si="1"/>
        <v>-45569</v>
      </c>
    </row>
    <row r="31" spans="2:17" x14ac:dyDescent="0.25">
      <c r="C31" t="s">
        <v>87</v>
      </c>
      <c r="D31" s="3" t="s">
        <v>88</v>
      </c>
      <c r="F31" t="s">
        <v>26</v>
      </c>
      <c r="G31" t="s">
        <v>89</v>
      </c>
      <c r="I31" s="10" t="s">
        <v>28</v>
      </c>
      <c r="J31" s="1">
        <v>45502</v>
      </c>
      <c r="K31" s="1">
        <v>45522</v>
      </c>
      <c r="L31" s="25">
        <f ca="1">CLIENTES[[#This Row],[Fecha Vencimiento]]-$J$6</f>
        <v>-73</v>
      </c>
      <c r="M31" s="1"/>
      <c r="N31" s="1" t="str">
        <f t="shared" ca="1" si="0"/>
        <v>Vencido</v>
      </c>
      <c r="O31" s="19"/>
      <c r="P31" s="2"/>
      <c r="Q31" s="2">
        <f t="shared" si="1"/>
        <v>0</v>
      </c>
    </row>
    <row r="32" spans="2:17" x14ac:dyDescent="0.25">
      <c r="C32" s="13" t="s">
        <v>87</v>
      </c>
      <c r="D32" s="13" t="s">
        <v>90</v>
      </c>
      <c r="F32" t="s">
        <v>26</v>
      </c>
      <c r="G32" t="s">
        <v>91</v>
      </c>
      <c r="I32" s="10" t="s">
        <v>28</v>
      </c>
      <c r="J32" s="1">
        <v>45484</v>
      </c>
      <c r="K32" s="1">
        <v>45515</v>
      </c>
      <c r="L32" s="25">
        <f ca="1">CLIENTES[[#This Row],[Fecha Vencimiento]]-$J$6</f>
        <v>-80</v>
      </c>
      <c r="N32" s="1" t="str">
        <f t="shared" ca="1" si="0"/>
        <v>Vencido</v>
      </c>
      <c r="O32" s="19"/>
      <c r="P32" s="2"/>
      <c r="Q32" s="2">
        <f t="shared" si="1"/>
        <v>0</v>
      </c>
    </row>
    <row r="33" spans="3:17" x14ac:dyDescent="0.25">
      <c r="C33" s="13" t="s">
        <v>87</v>
      </c>
      <c r="D33" s="13" t="s">
        <v>90</v>
      </c>
      <c r="F33" t="s">
        <v>26</v>
      </c>
      <c r="G33" t="s">
        <v>92</v>
      </c>
      <c r="I33" s="10" t="s">
        <v>28</v>
      </c>
      <c r="J33" s="1">
        <v>45469</v>
      </c>
      <c r="K33" s="1">
        <v>45495</v>
      </c>
      <c r="L33" s="25">
        <f ca="1">CLIENTES[[#This Row],[Fecha Vencimiento]]-$J$6</f>
        <v>-100</v>
      </c>
      <c r="N33" s="1" t="str">
        <f t="shared" ca="1" si="0"/>
        <v>Vencido</v>
      </c>
      <c r="O33" s="19"/>
      <c r="P33" s="2"/>
      <c r="Q33" s="2">
        <f t="shared" si="1"/>
        <v>0</v>
      </c>
    </row>
    <row r="34" spans="3:17" x14ac:dyDescent="0.25">
      <c r="C34" s="13" t="s">
        <v>93</v>
      </c>
      <c r="D34" s="13" t="s">
        <v>94</v>
      </c>
      <c r="E34" s="10">
        <v>1138536852</v>
      </c>
      <c r="F34" t="s">
        <v>35</v>
      </c>
      <c r="G34" t="s">
        <v>95</v>
      </c>
      <c r="H34" s="14">
        <v>4</v>
      </c>
      <c r="I34" s="10" t="s">
        <v>28</v>
      </c>
      <c r="J34" s="1">
        <v>45568</v>
      </c>
      <c r="K34" s="1">
        <v>45599</v>
      </c>
      <c r="L34" s="25">
        <f ca="1">CLIENTES[[#This Row],[Fecha Vencimiento]]-$J$6</f>
        <v>4</v>
      </c>
      <c r="N34" s="1" t="str">
        <f t="shared" ca="1" si="0"/>
        <v>Al dia</v>
      </c>
      <c r="O34" s="19"/>
      <c r="P34" s="2"/>
      <c r="Q34" s="2">
        <f t="shared" si="1"/>
        <v>0</v>
      </c>
    </row>
    <row r="35" spans="3:17" x14ac:dyDescent="0.25">
      <c r="C35" s="13" t="s">
        <v>96</v>
      </c>
      <c r="D35" s="13" t="s">
        <v>97</v>
      </c>
      <c r="E35" s="10" t="s">
        <v>2931</v>
      </c>
      <c r="F35" t="s">
        <v>26</v>
      </c>
      <c r="G35" t="s">
        <v>98</v>
      </c>
      <c r="H35" s="14">
        <v>3</v>
      </c>
      <c r="I35" s="10" t="s">
        <v>28</v>
      </c>
      <c r="J35" s="1">
        <v>45584</v>
      </c>
      <c r="K35" s="1">
        <v>45611</v>
      </c>
      <c r="L35" s="25">
        <f ca="1">CLIENTES[[#This Row],[Fecha Vencimiento]]-$J$6</f>
        <v>16</v>
      </c>
      <c r="N35" s="1" t="str">
        <f t="shared" ca="1" si="0"/>
        <v>Al dia</v>
      </c>
      <c r="O35" s="19"/>
      <c r="P35" s="2"/>
      <c r="Q35" s="2">
        <f t="shared" si="1"/>
        <v>0</v>
      </c>
    </row>
    <row r="36" spans="3:17" x14ac:dyDescent="0.25">
      <c r="C36" s="13" t="s">
        <v>99</v>
      </c>
      <c r="D36" s="13" t="s">
        <v>100</v>
      </c>
      <c r="E36" s="10">
        <v>1162999746</v>
      </c>
      <c r="F36" t="s">
        <v>26</v>
      </c>
      <c r="G36" t="s">
        <v>101</v>
      </c>
      <c r="H36" s="14">
        <v>1</v>
      </c>
      <c r="I36" s="10" t="s">
        <v>28</v>
      </c>
      <c r="J36" s="1">
        <v>45567</v>
      </c>
      <c r="K36" s="1">
        <v>45598</v>
      </c>
      <c r="L36" s="25">
        <f ca="1">CLIENTES[[#This Row],[Fecha Vencimiento]]-$J$6</f>
        <v>3</v>
      </c>
      <c r="N36" s="1" t="str">
        <f t="shared" ca="1" si="0"/>
        <v>Por vencer</v>
      </c>
      <c r="O36" s="19">
        <v>45567</v>
      </c>
      <c r="P36" s="2"/>
      <c r="Q36" s="2">
        <f t="shared" si="1"/>
        <v>-45567</v>
      </c>
    </row>
    <row r="37" spans="3:17" x14ac:dyDescent="0.25">
      <c r="C37" s="13" t="s">
        <v>102</v>
      </c>
      <c r="D37" s="13" t="s">
        <v>103</v>
      </c>
      <c r="E37" s="10">
        <v>1164020412</v>
      </c>
      <c r="F37" t="s">
        <v>26</v>
      </c>
      <c r="G37" t="s">
        <v>104</v>
      </c>
      <c r="H37" s="14">
        <v>7</v>
      </c>
      <c r="I37" s="10" t="s">
        <v>28</v>
      </c>
      <c r="J37" s="1">
        <v>45582</v>
      </c>
      <c r="K37" s="1">
        <v>45614</v>
      </c>
      <c r="L37" s="25">
        <f ca="1">CLIENTES[[#This Row],[Fecha Vencimiento]]-$J$6</f>
        <v>19</v>
      </c>
      <c r="N37" s="1" t="str">
        <f t="shared" ca="1" si="0"/>
        <v>Al dia</v>
      </c>
      <c r="O37" s="19"/>
      <c r="P37" s="2"/>
      <c r="Q37" s="2">
        <f t="shared" si="1"/>
        <v>0</v>
      </c>
    </row>
    <row r="38" spans="3:17" x14ac:dyDescent="0.25">
      <c r="C38" t="s">
        <v>105</v>
      </c>
      <c r="D38" s="3" t="s">
        <v>106</v>
      </c>
      <c r="F38" t="s">
        <v>26</v>
      </c>
      <c r="G38" t="s">
        <v>107</v>
      </c>
      <c r="H38" s="14">
        <v>1</v>
      </c>
      <c r="I38" s="10" t="s">
        <v>28</v>
      </c>
      <c r="J38" s="1">
        <v>45572</v>
      </c>
      <c r="K38" s="1">
        <v>45603</v>
      </c>
      <c r="L38" s="25">
        <f ca="1">CLIENTES[[#This Row],[Fecha Vencimiento]]-$J$6</f>
        <v>8</v>
      </c>
      <c r="M38" s="1"/>
      <c r="N38" s="1" t="str">
        <f t="shared" ca="1" si="0"/>
        <v>Al dia</v>
      </c>
      <c r="O38" s="19">
        <v>45572</v>
      </c>
      <c r="P38" s="2"/>
      <c r="Q38" s="2">
        <f t="shared" si="1"/>
        <v>-45572</v>
      </c>
    </row>
    <row r="39" spans="3:17" x14ac:dyDescent="0.25">
      <c r="C39" t="s">
        <v>108</v>
      </c>
      <c r="D39" s="3" t="s">
        <v>109</v>
      </c>
      <c r="E39" s="10">
        <v>1151126785</v>
      </c>
      <c r="F39" t="s">
        <v>26</v>
      </c>
      <c r="G39" t="s">
        <v>110</v>
      </c>
      <c r="H39" s="14">
        <v>4</v>
      </c>
      <c r="I39" s="10" t="s">
        <v>28</v>
      </c>
      <c r="J39" s="1">
        <v>45586</v>
      </c>
      <c r="K39" s="1">
        <v>45618</v>
      </c>
      <c r="L39" s="25">
        <f ca="1">CLIENTES[[#This Row],[Fecha Vencimiento]]-$J$6</f>
        <v>23</v>
      </c>
      <c r="M39" s="1"/>
      <c r="N39" s="1" t="str">
        <f t="shared" ca="1" si="0"/>
        <v>Al dia</v>
      </c>
      <c r="O39" s="19"/>
      <c r="P39" s="2"/>
      <c r="Q39" s="2">
        <f t="shared" si="1"/>
        <v>0</v>
      </c>
    </row>
    <row r="40" spans="3:17" x14ac:dyDescent="0.25">
      <c r="C40" t="s">
        <v>111</v>
      </c>
      <c r="D40" s="3" t="s">
        <v>112</v>
      </c>
      <c r="E40" s="10">
        <v>1158738354</v>
      </c>
      <c r="F40" t="s">
        <v>35</v>
      </c>
      <c r="G40" t="s">
        <v>113</v>
      </c>
      <c r="H40" s="14">
        <v>2</v>
      </c>
      <c r="I40" s="10" t="s">
        <v>28</v>
      </c>
      <c r="J40" s="1">
        <v>45568</v>
      </c>
      <c r="K40" s="1">
        <v>45601</v>
      </c>
      <c r="L40" s="25">
        <f ca="1">CLIENTES[[#This Row],[Fecha Vencimiento]]-$J$6</f>
        <v>6</v>
      </c>
      <c r="M40" s="1"/>
      <c r="N40" s="1" t="str">
        <f t="shared" ca="1" si="0"/>
        <v>Al dia</v>
      </c>
      <c r="O40" s="19">
        <v>45540</v>
      </c>
      <c r="P40" s="2"/>
      <c r="Q40" s="2">
        <f t="shared" si="1"/>
        <v>-45540</v>
      </c>
    </row>
    <row r="41" spans="3:17" x14ac:dyDescent="0.25">
      <c r="C41" t="s">
        <v>111</v>
      </c>
      <c r="D41" s="3" t="s">
        <v>112</v>
      </c>
      <c r="E41" s="10">
        <v>1158738954</v>
      </c>
      <c r="F41" t="s">
        <v>35</v>
      </c>
      <c r="G41" t="s">
        <v>114</v>
      </c>
      <c r="H41" s="14">
        <v>1</v>
      </c>
      <c r="I41" s="10" t="s">
        <v>28</v>
      </c>
      <c r="J41" s="1">
        <v>45568</v>
      </c>
      <c r="K41" s="1">
        <v>45599</v>
      </c>
      <c r="L41" s="25">
        <f ca="1">CLIENTES[[#This Row],[Fecha Vencimiento]]-$J$6</f>
        <v>4</v>
      </c>
      <c r="M41" s="1"/>
      <c r="N41" s="1" t="str">
        <f t="shared" ca="1" si="0"/>
        <v>Al dia</v>
      </c>
      <c r="O41" s="19">
        <v>45568</v>
      </c>
      <c r="P41" s="2"/>
      <c r="Q41" s="2">
        <f t="shared" si="1"/>
        <v>-45568</v>
      </c>
    </row>
    <row r="42" spans="3:17" x14ac:dyDescent="0.25">
      <c r="C42" t="s">
        <v>111</v>
      </c>
      <c r="D42" s="3" t="s">
        <v>112</v>
      </c>
      <c r="E42" s="10">
        <v>1158738354</v>
      </c>
      <c r="F42" t="s">
        <v>35</v>
      </c>
      <c r="G42" t="s">
        <v>115</v>
      </c>
      <c r="H42" s="14">
        <v>1</v>
      </c>
      <c r="I42" s="10" t="s">
        <v>28</v>
      </c>
      <c r="J42" s="1">
        <v>45560</v>
      </c>
      <c r="K42" s="1">
        <v>45590</v>
      </c>
      <c r="L42" s="25">
        <f ca="1">CLIENTES[[#This Row],[Fecha Vencimiento]]-$J$6</f>
        <v>-5</v>
      </c>
      <c r="M42" s="1"/>
      <c r="N42" s="1" t="str">
        <f t="shared" ca="1" si="0"/>
        <v>Vencido</v>
      </c>
      <c r="O42" s="19">
        <v>45560</v>
      </c>
      <c r="P42" s="2"/>
      <c r="Q42" s="2">
        <f t="shared" si="1"/>
        <v>-45560</v>
      </c>
    </row>
    <row r="43" spans="3:17" x14ac:dyDescent="0.25">
      <c r="C43" s="13" t="s">
        <v>116</v>
      </c>
      <c r="D43" s="13" t="s">
        <v>117</v>
      </c>
      <c r="E43" s="10" t="s">
        <v>3106</v>
      </c>
      <c r="F43" t="s">
        <v>26</v>
      </c>
      <c r="G43" t="s">
        <v>118</v>
      </c>
      <c r="H43" s="14">
        <v>4</v>
      </c>
      <c r="I43" s="10" t="s">
        <v>28</v>
      </c>
      <c r="J43" s="1">
        <v>45568</v>
      </c>
      <c r="K43" s="1">
        <v>45599</v>
      </c>
      <c r="L43" s="25">
        <f ca="1">CLIENTES[[#This Row],[Fecha Vencimiento]]-$J$6</f>
        <v>4</v>
      </c>
      <c r="N43" s="1" t="str">
        <f t="shared" ca="1" si="0"/>
        <v>Al dia</v>
      </c>
      <c r="O43" s="19"/>
      <c r="P43" s="2"/>
      <c r="Q43" s="2">
        <f t="shared" si="1"/>
        <v>0</v>
      </c>
    </row>
    <row r="44" spans="3:17" x14ac:dyDescent="0.25">
      <c r="C44" s="13" t="s">
        <v>119</v>
      </c>
      <c r="D44" s="13" t="s">
        <v>120</v>
      </c>
      <c r="E44" s="10">
        <v>1126796316</v>
      </c>
      <c r="F44" t="s">
        <v>26</v>
      </c>
      <c r="G44" t="s">
        <v>121</v>
      </c>
      <c r="H44" s="14">
        <v>2</v>
      </c>
      <c r="I44" s="10" t="s">
        <v>28</v>
      </c>
      <c r="J44" s="1">
        <v>45549</v>
      </c>
      <c r="K44" s="1">
        <v>45567</v>
      </c>
      <c r="L44" s="25">
        <f ca="1">CLIENTES[[#This Row],[Fecha Vencimiento]]-$J$6</f>
        <v>-28</v>
      </c>
      <c r="N44" s="1" t="str">
        <f t="shared" ca="1" si="0"/>
        <v>Vencido</v>
      </c>
      <c r="O44" s="19"/>
      <c r="P44" s="2"/>
      <c r="Q44" s="2">
        <f t="shared" si="1"/>
        <v>0</v>
      </c>
    </row>
    <row r="45" spans="3:17" x14ac:dyDescent="0.25">
      <c r="C45" s="13" t="s">
        <v>122</v>
      </c>
      <c r="D45" s="13" t="s">
        <v>123</v>
      </c>
      <c r="E45" s="10">
        <v>1134094169</v>
      </c>
      <c r="F45" t="s">
        <v>35</v>
      </c>
      <c r="G45" t="s">
        <v>124</v>
      </c>
      <c r="I45" s="10" t="s">
        <v>28</v>
      </c>
      <c r="J45" s="1">
        <v>45510</v>
      </c>
      <c r="K45" s="1">
        <v>45541</v>
      </c>
      <c r="L45" s="25">
        <f ca="1">CLIENTES[[#This Row],[Fecha Vencimiento]]-$J$6</f>
        <v>-54</v>
      </c>
      <c r="N45" s="1" t="str">
        <f t="shared" ca="1" si="0"/>
        <v>Vencido</v>
      </c>
      <c r="O45" s="19"/>
      <c r="P45" s="2"/>
      <c r="Q45" s="2">
        <f t="shared" si="1"/>
        <v>0</v>
      </c>
    </row>
    <row r="46" spans="3:17" x14ac:dyDescent="0.25">
      <c r="C46" s="13" t="s">
        <v>122</v>
      </c>
      <c r="D46" s="13" t="s">
        <v>123</v>
      </c>
      <c r="F46" t="s">
        <v>26</v>
      </c>
      <c r="G46" t="s">
        <v>125</v>
      </c>
      <c r="I46" s="10" t="s">
        <v>28</v>
      </c>
      <c r="J46" s="1">
        <v>45498</v>
      </c>
      <c r="K46" s="1">
        <v>45528</v>
      </c>
      <c r="L46" s="25">
        <f ca="1">CLIENTES[[#This Row],[Fecha Vencimiento]]-$J$6</f>
        <v>-67</v>
      </c>
      <c r="N46" s="1" t="str">
        <f t="shared" ca="1" si="0"/>
        <v>Vencido</v>
      </c>
      <c r="O46" s="19"/>
      <c r="P46" s="2"/>
      <c r="Q46" s="2">
        <f t="shared" si="1"/>
        <v>0</v>
      </c>
    </row>
    <row r="47" spans="3:17" x14ac:dyDescent="0.25">
      <c r="C47" t="s">
        <v>126</v>
      </c>
      <c r="D47" s="3" t="s">
        <v>127</v>
      </c>
      <c r="E47" s="10">
        <v>1156023577</v>
      </c>
      <c r="F47" t="s">
        <v>26</v>
      </c>
      <c r="G47" t="s">
        <v>128</v>
      </c>
      <c r="H47" s="14">
        <v>4</v>
      </c>
      <c r="I47" s="10" t="s">
        <v>28</v>
      </c>
      <c r="J47" s="1">
        <v>45587</v>
      </c>
      <c r="K47" s="1">
        <v>45619</v>
      </c>
      <c r="L47" s="25">
        <f ca="1">CLIENTES[[#This Row],[Fecha Vencimiento]]-$J$6</f>
        <v>24</v>
      </c>
      <c r="M47" s="1"/>
      <c r="N47" s="1" t="str">
        <f t="shared" ca="1" si="0"/>
        <v>Al dia</v>
      </c>
      <c r="O47" s="19"/>
      <c r="P47" s="2"/>
      <c r="Q47" s="2">
        <f t="shared" si="1"/>
        <v>0</v>
      </c>
    </row>
    <row r="48" spans="3:17" ht="30" x14ac:dyDescent="0.25">
      <c r="C48" t="s">
        <v>122</v>
      </c>
      <c r="D48" s="35" t="s">
        <v>129</v>
      </c>
      <c r="F48" t="s">
        <v>26</v>
      </c>
      <c r="G48" t="s">
        <v>130</v>
      </c>
      <c r="H48" s="14">
        <v>2</v>
      </c>
      <c r="I48" s="10" t="s">
        <v>28</v>
      </c>
      <c r="J48" s="1">
        <v>45594</v>
      </c>
      <c r="K48" s="1">
        <v>45628</v>
      </c>
      <c r="L48" s="25">
        <f ca="1">CLIENTES[[#This Row],[Fecha Vencimiento]]-$J$6</f>
        <v>33</v>
      </c>
      <c r="M48" s="1"/>
      <c r="N48" s="1" t="str">
        <f t="shared" ca="1" si="0"/>
        <v>Al dia</v>
      </c>
      <c r="O48" s="19">
        <v>45566</v>
      </c>
      <c r="P48" s="2"/>
      <c r="Q48" s="2">
        <f t="shared" si="1"/>
        <v>-45566</v>
      </c>
    </row>
    <row r="49" spans="3:17" x14ac:dyDescent="0.25">
      <c r="C49" s="13" t="s">
        <v>131</v>
      </c>
      <c r="D49" s="13" t="s">
        <v>132</v>
      </c>
      <c r="F49" t="s">
        <v>26</v>
      </c>
      <c r="G49" t="s">
        <v>133</v>
      </c>
      <c r="I49" s="10" t="s">
        <v>28</v>
      </c>
      <c r="J49" s="1">
        <v>45486</v>
      </c>
      <c r="K49" s="1">
        <v>45517</v>
      </c>
      <c r="L49" s="25">
        <f ca="1">CLIENTES[[#This Row],[Fecha Vencimiento]]-$J$6</f>
        <v>-78</v>
      </c>
      <c r="N49" s="1" t="str">
        <f t="shared" ca="1" si="0"/>
        <v>Vencido</v>
      </c>
      <c r="O49" s="19"/>
      <c r="P49" s="2"/>
      <c r="Q49" s="2">
        <f t="shared" si="1"/>
        <v>0</v>
      </c>
    </row>
    <row r="50" spans="3:17" x14ac:dyDescent="0.25">
      <c r="C50" s="13" t="s">
        <v>134</v>
      </c>
      <c r="D50" s="13" t="s">
        <v>135</v>
      </c>
      <c r="E50" s="10">
        <v>1166877023</v>
      </c>
      <c r="F50" t="s">
        <v>26</v>
      </c>
      <c r="G50" t="s">
        <v>136</v>
      </c>
      <c r="H50" s="14">
        <v>6</v>
      </c>
      <c r="I50" s="10" t="s">
        <v>28</v>
      </c>
      <c r="J50" s="1">
        <v>45561</v>
      </c>
      <c r="K50" s="1">
        <v>45592</v>
      </c>
      <c r="L50" s="25">
        <f ca="1">CLIENTES[[#This Row],[Fecha Vencimiento]]-$J$6</f>
        <v>-3</v>
      </c>
      <c r="N50" s="1" t="str">
        <f t="shared" ca="1" si="0"/>
        <v>Vencido</v>
      </c>
      <c r="O50" s="19"/>
      <c r="P50" s="2"/>
      <c r="Q50" s="2">
        <f t="shared" si="1"/>
        <v>0</v>
      </c>
    </row>
    <row r="51" spans="3:17" x14ac:dyDescent="0.25">
      <c r="C51" s="13" t="s">
        <v>137</v>
      </c>
      <c r="D51" s="13" t="s">
        <v>138</v>
      </c>
      <c r="F51" t="s">
        <v>26</v>
      </c>
      <c r="G51" t="s">
        <v>139</v>
      </c>
      <c r="I51" s="10" t="s">
        <v>28</v>
      </c>
      <c r="J51" s="1">
        <v>45478</v>
      </c>
      <c r="K51" s="1">
        <v>45492</v>
      </c>
      <c r="L51" s="25">
        <f ca="1">CLIENTES[[#This Row],[Fecha Vencimiento]]-$J$6</f>
        <v>-103</v>
      </c>
      <c r="N51" s="1" t="str">
        <f t="shared" ca="1" si="0"/>
        <v>Vencido</v>
      </c>
      <c r="O51" s="19"/>
      <c r="P51" s="2"/>
      <c r="Q51" s="2">
        <f t="shared" si="1"/>
        <v>0</v>
      </c>
    </row>
    <row r="52" spans="3:17" x14ac:dyDescent="0.25">
      <c r="C52" s="13" t="s">
        <v>140</v>
      </c>
      <c r="D52" s="13" t="s">
        <v>141</v>
      </c>
      <c r="E52" s="10">
        <v>1160202570</v>
      </c>
      <c r="F52" t="s">
        <v>26</v>
      </c>
      <c r="G52" t="s">
        <v>142</v>
      </c>
      <c r="H52" s="14">
        <v>5</v>
      </c>
      <c r="I52" s="10" t="s">
        <v>28</v>
      </c>
      <c r="J52" s="1">
        <v>45581</v>
      </c>
      <c r="K52" s="1">
        <v>45602</v>
      </c>
      <c r="L52" s="25">
        <f ca="1">CLIENTES[[#This Row],[Fecha Vencimiento]]-$J$6</f>
        <v>7</v>
      </c>
      <c r="N52" s="1" t="str">
        <f t="shared" ca="1" si="0"/>
        <v>Al dia</v>
      </c>
      <c r="O52" s="19"/>
      <c r="P52" s="2"/>
      <c r="Q52" s="2">
        <f t="shared" si="1"/>
        <v>0</v>
      </c>
    </row>
    <row r="53" spans="3:17" x14ac:dyDescent="0.25">
      <c r="C53" s="13" t="s">
        <v>140</v>
      </c>
      <c r="D53" s="13" t="s">
        <v>143</v>
      </c>
      <c r="E53" s="10">
        <v>1160202568</v>
      </c>
      <c r="F53" t="s">
        <v>35</v>
      </c>
      <c r="G53" t="s">
        <v>144</v>
      </c>
      <c r="H53" s="14">
        <v>7</v>
      </c>
      <c r="I53" s="10" t="s">
        <v>28</v>
      </c>
      <c r="J53" s="1">
        <v>45580</v>
      </c>
      <c r="K53" s="1">
        <v>45608</v>
      </c>
      <c r="L53" s="25">
        <f ca="1">CLIENTES[[#This Row],[Fecha Vencimiento]]-$J$6</f>
        <v>13</v>
      </c>
      <c r="N53" s="1" t="str">
        <f t="shared" ca="1" si="0"/>
        <v>Al dia</v>
      </c>
      <c r="O53" s="19"/>
      <c r="P53" s="2"/>
      <c r="Q53" s="2">
        <f t="shared" si="1"/>
        <v>0</v>
      </c>
    </row>
    <row r="54" spans="3:17" x14ac:dyDescent="0.25">
      <c r="C54" s="13" t="s">
        <v>145</v>
      </c>
      <c r="D54" s="13" t="s">
        <v>146</v>
      </c>
      <c r="E54" s="10">
        <v>1122830756</v>
      </c>
      <c r="F54" t="s">
        <v>26</v>
      </c>
      <c r="G54" t="s">
        <v>147</v>
      </c>
      <c r="H54" s="14">
        <v>5</v>
      </c>
      <c r="I54" s="10" t="s">
        <v>28</v>
      </c>
      <c r="J54" s="1">
        <v>45573</v>
      </c>
      <c r="K54" s="1">
        <v>45604</v>
      </c>
      <c r="L54" s="25">
        <f ca="1">CLIENTES[[#This Row],[Fecha Vencimiento]]-$J$6</f>
        <v>9</v>
      </c>
      <c r="N54" s="1" t="str">
        <f t="shared" ca="1" si="0"/>
        <v>Al dia</v>
      </c>
      <c r="O54" s="19"/>
      <c r="P54" s="2"/>
      <c r="Q54" s="2">
        <f t="shared" si="1"/>
        <v>0</v>
      </c>
    </row>
    <row r="55" spans="3:17" x14ac:dyDescent="0.25">
      <c r="C55" s="13" t="s">
        <v>148</v>
      </c>
      <c r="D55" s="13" t="s">
        <v>149</v>
      </c>
      <c r="E55" s="10">
        <v>1150993703</v>
      </c>
      <c r="F55" t="s">
        <v>26</v>
      </c>
      <c r="G55" t="s">
        <v>150</v>
      </c>
      <c r="H55" s="14">
        <v>3</v>
      </c>
      <c r="I55" s="10" t="s">
        <v>28</v>
      </c>
      <c r="J55" s="1">
        <v>45579</v>
      </c>
      <c r="K55" s="1">
        <v>45615</v>
      </c>
      <c r="L55" s="25">
        <f ca="1">CLIENTES[[#This Row],[Fecha Vencimiento]]-$J$6</f>
        <v>20</v>
      </c>
      <c r="N55" s="1" t="str">
        <f t="shared" ca="1" si="0"/>
        <v>Al dia</v>
      </c>
      <c r="O55" s="19"/>
      <c r="P55" s="2"/>
      <c r="Q55" s="2">
        <f t="shared" si="1"/>
        <v>0</v>
      </c>
    </row>
    <row r="56" spans="3:17" x14ac:dyDescent="0.25">
      <c r="C56" t="s">
        <v>151</v>
      </c>
      <c r="D56" s="3" t="s">
        <v>152</v>
      </c>
      <c r="E56" s="10">
        <v>1130474748</v>
      </c>
      <c r="F56" t="s">
        <v>26</v>
      </c>
      <c r="G56" t="s">
        <v>153</v>
      </c>
      <c r="H56" s="14">
        <v>2</v>
      </c>
      <c r="I56" s="10" t="s">
        <v>28</v>
      </c>
      <c r="J56" s="1">
        <v>45572</v>
      </c>
      <c r="K56" s="1">
        <v>45601</v>
      </c>
      <c r="L56" s="25">
        <f ca="1">CLIENTES[[#This Row],[Fecha Vencimiento]]-$J$6</f>
        <v>6</v>
      </c>
      <c r="M56" s="1"/>
      <c r="N56" s="1" t="str">
        <f t="shared" ca="1" si="0"/>
        <v>Al dia</v>
      </c>
      <c r="O56" s="19"/>
      <c r="P56" s="2"/>
      <c r="Q56" s="2">
        <f t="shared" si="1"/>
        <v>0</v>
      </c>
    </row>
    <row r="57" spans="3:17" x14ac:dyDescent="0.25">
      <c r="C57" s="13" t="s">
        <v>154</v>
      </c>
      <c r="D57" s="13" t="s">
        <v>155</v>
      </c>
      <c r="E57" s="10" t="s">
        <v>3107</v>
      </c>
      <c r="F57" t="s">
        <v>35</v>
      </c>
      <c r="G57" t="s">
        <v>156</v>
      </c>
      <c r="H57" s="14">
        <v>3</v>
      </c>
      <c r="I57" s="10" t="s">
        <v>28</v>
      </c>
      <c r="J57" s="1">
        <v>45577</v>
      </c>
      <c r="K57" s="1">
        <v>45608</v>
      </c>
      <c r="L57" s="25">
        <f ca="1">CLIENTES[[#This Row],[Fecha Vencimiento]]-$J$6</f>
        <v>13</v>
      </c>
      <c r="N57" s="1" t="str">
        <f t="shared" ca="1" si="0"/>
        <v>Al dia</v>
      </c>
      <c r="O57" s="19"/>
      <c r="P57" s="2"/>
      <c r="Q57" s="2">
        <f t="shared" si="1"/>
        <v>0</v>
      </c>
    </row>
    <row r="58" spans="3:17" x14ac:dyDescent="0.25">
      <c r="C58" s="13" t="s">
        <v>157</v>
      </c>
      <c r="D58" s="13" t="s">
        <v>158</v>
      </c>
      <c r="E58" s="10" t="s">
        <v>2931</v>
      </c>
      <c r="F58" t="s">
        <v>159</v>
      </c>
      <c r="G58" t="s">
        <v>160</v>
      </c>
      <c r="H58" s="14">
        <v>5</v>
      </c>
      <c r="I58" s="10" t="s">
        <v>75</v>
      </c>
      <c r="J58" s="1">
        <v>45572</v>
      </c>
      <c r="K58" s="1">
        <v>45600</v>
      </c>
      <c r="L58" s="25">
        <f ca="1">CLIENTES[[#This Row],[Fecha Vencimiento]]-$J$6</f>
        <v>5</v>
      </c>
      <c r="N58" s="1" t="str">
        <f t="shared" ca="1" si="0"/>
        <v>Al dia</v>
      </c>
      <c r="O58" s="19"/>
      <c r="P58" s="2"/>
      <c r="Q58" s="2">
        <f t="shared" si="1"/>
        <v>0</v>
      </c>
    </row>
    <row r="59" spans="3:17" x14ac:dyDescent="0.25">
      <c r="C59" s="13" t="s">
        <v>157</v>
      </c>
      <c r="D59" s="13" t="s">
        <v>158</v>
      </c>
      <c r="E59" s="10" t="s">
        <v>2931</v>
      </c>
      <c r="F59" t="s">
        <v>159</v>
      </c>
      <c r="G59" t="s">
        <v>161</v>
      </c>
      <c r="H59" s="14">
        <v>4</v>
      </c>
      <c r="I59" s="10" t="s">
        <v>75</v>
      </c>
      <c r="J59" s="1">
        <v>45538</v>
      </c>
      <c r="K59" s="1">
        <v>45569</v>
      </c>
      <c r="L59" s="25">
        <f ca="1">CLIENTES[[#This Row],[Fecha Vencimiento]]-$J$6</f>
        <v>-26</v>
      </c>
      <c r="N59" s="1" t="str">
        <f t="shared" ca="1" si="0"/>
        <v>Vencido</v>
      </c>
      <c r="O59" s="19"/>
      <c r="P59" s="2"/>
      <c r="Q59" s="2">
        <f t="shared" si="1"/>
        <v>0</v>
      </c>
    </row>
    <row r="60" spans="3:17" x14ac:dyDescent="0.25">
      <c r="C60" s="13" t="s">
        <v>157</v>
      </c>
      <c r="D60" s="13" t="s">
        <v>162</v>
      </c>
      <c r="F60" t="s">
        <v>26</v>
      </c>
      <c r="G60" t="s">
        <v>163</v>
      </c>
      <c r="H60" s="14">
        <v>4</v>
      </c>
      <c r="I60" s="10" t="s">
        <v>28</v>
      </c>
      <c r="J60" s="1">
        <v>45570</v>
      </c>
      <c r="K60" s="1">
        <v>45625</v>
      </c>
      <c r="L60" s="25">
        <f ca="1">CLIENTES[[#This Row],[Fecha Vencimiento]]-$J$6</f>
        <v>30</v>
      </c>
      <c r="N60" s="1" t="str">
        <f t="shared" ca="1" si="0"/>
        <v>Al dia</v>
      </c>
      <c r="O60" s="19"/>
      <c r="P60" s="2"/>
      <c r="Q60" s="2">
        <f t="shared" si="1"/>
        <v>0</v>
      </c>
    </row>
    <row r="61" spans="3:17" x14ac:dyDescent="0.25">
      <c r="C61" s="13" t="s">
        <v>157</v>
      </c>
      <c r="D61" s="13" t="s">
        <v>164</v>
      </c>
      <c r="E61" s="10" t="s">
        <v>2931</v>
      </c>
      <c r="F61" t="s">
        <v>26</v>
      </c>
      <c r="G61" t="s">
        <v>165</v>
      </c>
      <c r="H61" s="14">
        <v>7</v>
      </c>
      <c r="I61" s="10" t="s">
        <v>28</v>
      </c>
      <c r="J61" s="1">
        <v>45590</v>
      </c>
      <c r="K61" s="1">
        <v>45623</v>
      </c>
      <c r="L61" s="25">
        <f ca="1">CLIENTES[[#This Row],[Fecha Vencimiento]]-$J$6</f>
        <v>28</v>
      </c>
      <c r="N61" s="1" t="str">
        <f t="shared" ca="1" si="0"/>
        <v>Al dia</v>
      </c>
      <c r="O61" s="19"/>
      <c r="P61" s="2"/>
      <c r="Q61" s="2">
        <f t="shared" si="1"/>
        <v>0</v>
      </c>
    </row>
    <row r="62" spans="3:17" x14ac:dyDescent="0.25">
      <c r="C62" s="13" t="s">
        <v>157</v>
      </c>
      <c r="D62" s="13" t="s">
        <v>166</v>
      </c>
      <c r="E62" s="10">
        <v>1121602706</v>
      </c>
      <c r="F62" t="s">
        <v>26</v>
      </c>
      <c r="G62" t="s">
        <v>167</v>
      </c>
      <c r="H62" s="14">
        <v>1</v>
      </c>
      <c r="I62" s="10" t="s">
        <v>28</v>
      </c>
      <c r="J62" s="1">
        <v>45560</v>
      </c>
      <c r="K62" s="1">
        <v>45590</v>
      </c>
      <c r="L62" s="25">
        <f ca="1">CLIENTES[[#This Row],[Fecha Vencimiento]]-$J$6</f>
        <v>-5</v>
      </c>
      <c r="N62" s="1" t="str">
        <f t="shared" ca="1" si="0"/>
        <v>Vencido</v>
      </c>
      <c r="O62" s="19"/>
      <c r="P62" s="2"/>
      <c r="Q62" s="2">
        <f t="shared" si="1"/>
        <v>0</v>
      </c>
    </row>
    <row r="63" spans="3:17" x14ac:dyDescent="0.25">
      <c r="C63" s="13" t="s">
        <v>168</v>
      </c>
      <c r="D63" s="13" t="s">
        <v>169</v>
      </c>
      <c r="E63" s="10">
        <v>1134507520</v>
      </c>
      <c r="F63" t="s">
        <v>35</v>
      </c>
      <c r="G63" t="s">
        <v>170</v>
      </c>
      <c r="H63" s="14">
        <v>2</v>
      </c>
      <c r="I63" s="10" t="s">
        <v>28</v>
      </c>
      <c r="J63" s="1">
        <v>45574</v>
      </c>
      <c r="K63" s="1">
        <v>45604</v>
      </c>
      <c r="L63" s="25">
        <f ca="1">CLIENTES[[#This Row],[Fecha Vencimiento]]-$J$6</f>
        <v>9</v>
      </c>
      <c r="N63" s="1" t="str">
        <f t="shared" ca="1" si="0"/>
        <v>Al dia</v>
      </c>
      <c r="O63" s="19"/>
      <c r="P63" s="2"/>
      <c r="Q63" s="2">
        <f t="shared" si="1"/>
        <v>0</v>
      </c>
    </row>
    <row r="64" spans="3:17" x14ac:dyDescent="0.25">
      <c r="C64" s="13" t="s">
        <v>171</v>
      </c>
      <c r="D64" s="13" t="s">
        <v>172</v>
      </c>
      <c r="E64" s="10">
        <v>1155173282</v>
      </c>
      <c r="F64" t="s">
        <v>26</v>
      </c>
      <c r="G64" t="s">
        <v>173</v>
      </c>
      <c r="H64" s="14">
        <v>1</v>
      </c>
      <c r="I64" s="10" t="s">
        <v>28</v>
      </c>
      <c r="J64" s="1">
        <v>45527</v>
      </c>
      <c r="K64" s="1">
        <v>45558</v>
      </c>
      <c r="L64" s="25">
        <f ca="1">CLIENTES[[#This Row],[Fecha Vencimiento]]-$J$6</f>
        <v>-37</v>
      </c>
      <c r="N64" s="1" t="str">
        <f t="shared" ca="1" si="0"/>
        <v>Vencido</v>
      </c>
      <c r="O64" s="19">
        <v>45527</v>
      </c>
      <c r="P64" s="2"/>
      <c r="Q64" s="2">
        <f t="shared" si="1"/>
        <v>-45527</v>
      </c>
    </row>
    <row r="65" spans="3:17" x14ac:dyDescent="0.25">
      <c r="C65" t="s">
        <v>174</v>
      </c>
      <c r="D65" t="s">
        <v>172</v>
      </c>
      <c r="E65" s="10" t="s">
        <v>2931</v>
      </c>
      <c r="F65" t="s">
        <v>35</v>
      </c>
      <c r="G65" t="s">
        <v>175</v>
      </c>
      <c r="H65" s="14">
        <v>2</v>
      </c>
      <c r="I65" s="10" t="s">
        <v>28</v>
      </c>
      <c r="J65" s="1">
        <v>45586</v>
      </c>
      <c r="K65" s="1">
        <v>45616</v>
      </c>
      <c r="L65" s="25">
        <f ca="1">CLIENTES[[#This Row],[Fecha Vencimiento]]-$J$6</f>
        <v>21</v>
      </c>
      <c r="N65" s="1" t="str">
        <f t="shared" ca="1" si="0"/>
        <v>Al dia</v>
      </c>
      <c r="O65" s="19"/>
      <c r="P65" s="2"/>
      <c r="Q65" s="2">
        <f t="shared" si="1"/>
        <v>0</v>
      </c>
    </row>
    <row r="66" spans="3:17" x14ac:dyDescent="0.25">
      <c r="C66" t="s">
        <v>176</v>
      </c>
      <c r="D66" s="3" t="s">
        <v>177</v>
      </c>
      <c r="F66" t="s">
        <v>26</v>
      </c>
      <c r="G66" t="s">
        <v>178</v>
      </c>
      <c r="I66" s="10" t="s">
        <v>28</v>
      </c>
      <c r="J66" s="1">
        <v>45462</v>
      </c>
      <c r="K66" s="1">
        <v>45492</v>
      </c>
      <c r="L66" s="25">
        <f ca="1">CLIENTES[[#This Row],[Fecha Vencimiento]]-$J$6</f>
        <v>-103</v>
      </c>
      <c r="M66" s="1"/>
      <c r="N66" s="1" t="str">
        <f t="shared" ca="1" si="0"/>
        <v>Vencido</v>
      </c>
      <c r="O66" s="19"/>
      <c r="P66" s="2"/>
      <c r="Q66" s="2">
        <f t="shared" si="1"/>
        <v>0</v>
      </c>
    </row>
    <row r="67" spans="3:17" x14ac:dyDescent="0.25">
      <c r="C67" s="13" t="s">
        <v>176</v>
      </c>
      <c r="D67" s="13" t="s">
        <v>179</v>
      </c>
      <c r="E67" s="10">
        <v>1153177639</v>
      </c>
      <c r="F67" t="s">
        <v>35</v>
      </c>
      <c r="G67" t="s">
        <v>180</v>
      </c>
      <c r="H67" s="14">
        <v>2</v>
      </c>
      <c r="I67" s="10" t="s">
        <v>28</v>
      </c>
      <c r="J67" s="1">
        <v>45549</v>
      </c>
      <c r="K67" s="1">
        <v>45579</v>
      </c>
      <c r="L67" s="25">
        <f ca="1">CLIENTES[[#This Row],[Fecha Vencimiento]]-$J$6</f>
        <v>-16</v>
      </c>
      <c r="N67" s="1" t="str">
        <f t="shared" ca="1" si="0"/>
        <v>Vencido</v>
      </c>
      <c r="O67" s="19"/>
      <c r="P67" s="2"/>
      <c r="Q67" s="2">
        <f t="shared" si="1"/>
        <v>0</v>
      </c>
    </row>
    <row r="68" spans="3:17" x14ac:dyDescent="0.25">
      <c r="C68" s="13" t="s">
        <v>176</v>
      </c>
      <c r="D68" s="13" t="s">
        <v>181</v>
      </c>
      <c r="E68" s="10">
        <v>3764323191</v>
      </c>
      <c r="F68" t="s">
        <v>159</v>
      </c>
      <c r="G68" t="s">
        <v>182</v>
      </c>
      <c r="H68" s="14">
        <v>5</v>
      </c>
      <c r="I68" s="10" t="s">
        <v>183</v>
      </c>
      <c r="J68" s="1">
        <v>45583</v>
      </c>
      <c r="K68" s="1">
        <v>45616</v>
      </c>
      <c r="L68" s="25">
        <f ca="1">CLIENTES[[#This Row],[Fecha Vencimiento]]-$J$6</f>
        <v>21</v>
      </c>
      <c r="N68" s="1" t="str">
        <f t="shared" ca="1" si="0"/>
        <v>Al dia</v>
      </c>
      <c r="O68" s="19"/>
      <c r="P68" s="2"/>
      <c r="Q68" s="2">
        <f t="shared" si="1"/>
        <v>0</v>
      </c>
    </row>
    <row r="69" spans="3:17" x14ac:dyDescent="0.25">
      <c r="C69" s="13" t="s">
        <v>176</v>
      </c>
      <c r="D69" s="13" t="s">
        <v>184</v>
      </c>
      <c r="E69" s="10">
        <v>1132679039</v>
      </c>
      <c r="F69" t="s">
        <v>26</v>
      </c>
      <c r="G69" t="s">
        <v>185</v>
      </c>
      <c r="H69" s="14">
        <v>5</v>
      </c>
      <c r="I69" s="10" t="s">
        <v>28</v>
      </c>
      <c r="J69" s="1">
        <v>45569</v>
      </c>
      <c r="K69" s="1">
        <v>45602</v>
      </c>
      <c r="L69" s="25">
        <f ca="1">CLIENTES[[#This Row],[Fecha Vencimiento]]-$J$6</f>
        <v>7</v>
      </c>
      <c r="N69" s="1" t="str">
        <f t="shared" ca="1" si="0"/>
        <v>Al dia</v>
      </c>
      <c r="O69" s="19"/>
      <c r="P69" s="2"/>
      <c r="Q69" s="2">
        <f t="shared" si="1"/>
        <v>0</v>
      </c>
    </row>
    <row r="70" spans="3:17" x14ac:dyDescent="0.25">
      <c r="C70" s="13" t="s">
        <v>176</v>
      </c>
      <c r="D70" s="13" t="s">
        <v>186</v>
      </c>
      <c r="F70" t="s">
        <v>35</v>
      </c>
      <c r="G70" t="s">
        <v>187</v>
      </c>
      <c r="H70" s="14">
        <v>1</v>
      </c>
      <c r="I70" s="10" t="s">
        <v>28</v>
      </c>
      <c r="J70" s="1">
        <v>45581</v>
      </c>
      <c r="K70" s="1">
        <v>45612</v>
      </c>
      <c r="L70" s="25">
        <f ca="1">CLIENTES[[#This Row],[Fecha Vencimiento]]-$J$6</f>
        <v>17</v>
      </c>
      <c r="N70" s="1" t="str">
        <f t="shared" ca="1" si="0"/>
        <v>Al dia</v>
      </c>
      <c r="O70" s="19">
        <v>45612</v>
      </c>
      <c r="P70" s="2"/>
      <c r="Q70" s="2">
        <f t="shared" si="1"/>
        <v>-45612</v>
      </c>
    </row>
    <row r="71" spans="3:17" x14ac:dyDescent="0.25">
      <c r="C71" s="13" t="s">
        <v>188</v>
      </c>
      <c r="D71" s="13" t="s">
        <v>189</v>
      </c>
      <c r="E71" s="10">
        <v>1160147996</v>
      </c>
      <c r="F71" t="s">
        <v>26</v>
      </c>
      <c r="G71" t="s">
        <v>190</v>
      </c>
      <c r="H71" s="14">
        <v>6</v>
      </c>
      <c r="I71" s="10" t="s">
        <v>28</v>
      </c>
      <c r="J71" s="1">
        <v>45575</v>
      </c>
      <c r="K71" s="1">
        <v>45606</v>
      </c>
      <c r="L71" s="25">
        <f ca="1">CLIENTES[[#This Row],[Fecha Vencimiento]]-$J$6</f>
        <v>11</v>
      </c>
      <c r="N71" s="1" t="str">
        <f t="shared" ca="1" si="0"/>
        <v>Al dia</v>
      </c>
      <c r="O71" s="19"/>
      <c r="P71" s="2"/>
      <c r="Q71" s="2">
        <f t="shared" si="1"/>
        <v>0</v>
      </c>
    </row>
    <row r="72" spans="3:17" x14ac:dyDescent="0.25">
      <c r="C72" t="s">
        <v>191</v>
      </c>
      <c r="D72" s="3" t="s">
        <v>192</v>
      </c>
      <c r="E72" s="10">
        <v>1165901998</v>
      </c>
      <c r="F72" t="s">
        <v>26</v>
      </c>
      <c r="G72" t="s">
        <v>193</v>
      </c>
      <c r="I72" s="10" t="s">
        <v>28</v>
      </c>
      <c r="J72" s="1">
        <v>45503</v>
      </c>
      <c r="K72" s="1">
        <v>45534</v>
      </c>
      <c r="L72" s="25">
        <f ca="1">CLIENTES[[#This Row],[Fecha Vencimiento]]-$J$6</f>
        <v>-61</v>
      </c>
      <c r="M72" s="1"/>
      <c r="N72" s="1" t="str">
        <f t="shared" ref="N72:N135" ca="1" si="2">IF(L72&lt;0,"Vencido",IF(L72=0,"Vence hoy",IF(L72&lt;4,"Por vencer","Al dia")))</f>
        <v>Vencido</v>
      </c>
      <c r="O72" s="19"/>
      <c r="P72" s="2"/>
      <c r="Q72" s="2">
        <f t="shared" ref="Q72:Q135" si="3">P72-O72</f>
        <v>0</v>
      </c>
    </row>
    <row r="73" spans="3:17" x14ac:dyDescent="0.25">
      <c r="C73" s="13" t="s">
        <v>194</v>
      </c>
      <c r="D73" s="13" t="s">
        <v>195</v>
      </c>
      <c r="E73" s="10" t="s">
        <v>3106</v>
      </c>
      <c r="F73" t="s">
        <v>26</v>
      </c>
      <c r="G73" t="s">
        <v>196</v>
      </c>
      <c r="H73" s="14">
        <v>4</v>
      </c>
      <c r="I73" s="10" t="s">
        <v>28</v>
      </c>
      <c r="J73" s="1">
        <v>45569</v>
      </c>
      <c r="K73" s="1">
        <v>45597</v>
      </c>
      <c r="L73" s="25">
        <f ca="1">CLIENTES[[#This Row],[Fecha Vencimiento]]-$J$6</f>
        <v>2</v>
      </c>
      <c r="N73" s="1" t="str">
        <f t="shared" ca="1" si="2"/>
        <v>Por vencer</v>
      </c>
      <c r="O73" s="19"/>
      <c r="P73" s="2"/>
      <c r="Q73" s="2">
        <f t="shared" si="3"/>
        <v>0</v>
      </c>
    </row>
    <row r="74" spans="3:17" x14ac:dyDescent="0.25">
      <c r="C74" s="13" t="s">
        <v>194</v>
      </c>
      <c r="D74" s="13" t="s">
        <v>197</v>
      </c>
      <c r="E74" s="10">
        <v>1166060072</v>
      </c>
      <c r="F74" t="s">
        <v>26</v>
      </c>
      <c r="G74" t="s">
        <v>198</v>
      </c>
      <c r="H74" s="14">
        <v>3</v>
      </c>
      <c r="I74" s="10" t="s">
        <v>28</v>
      </c>
      <c r="J74" s="1">
        <v>45574</v>
      </c>
      <c r="K74" s="1">
        <v>45608</v>
      </c>
      <c r="L74" s="25">
        <f ca="1">CLIENTES[[#This Row],[Fecha Vencimiento]]-$J$6</f>
        <v>13</v>
      </c>
      <c r="N74" s="1" t="str">
        <f t="shared" ca="1" si="2"/>
        <v>Al dia</v>
      </c>
      <c r="O74" s="19"/>
      <c r="P74" s="2"/>
      <c r="Q74" s="2">
        <f t="shared" si="3"/>
        <v>0</v>
      </c>
    </row>
    <row r="75" spans="3:17" x14ac:dyDescent="0.25">
      <c r="C75" s="13" t="s">
        <v>199</v>
      </c>
      <c r="D75" s="13" t="s">
        <v>200</v>
      </c>
      <c r="E75" s="10">
        <v>1131152582</v>
      </c>
      <c r="F75" t="s">
        <v>26</v>
      </c>
      <c r="G75" t="s">
        <v>201</v>
      </c>
      <c r="H75" s="14">
        <v>2</v>
      </c>
      <c r="I75" s="10" t="s">
        <v>28</v>
      </c>
      <c r="J75" s="1">
        <v>45579</v>
      </c>
      <c r="K75" s="1">
        <v>45610</v>
      </c>
      <c r="L75" s="25">
        <f ca="1">CLIENTES[[#This Row],[Fecha Vencimiento]]-$J$6</f>
        <v>15</v>
      </c>
      <c r="N75" s="1" t="str">
        <f t="shared" ca="1" si="2"/>
        <v>Al dia</v>
      </c>
      <c r="O75" s="19">
        <v>45549</v>
      </c>
      <c r="P75" s="2"/>
      <c r="Q75" s="2">
        <f t="shared" si="3"/>
        <v>-45549</v>
      </c>
    </row>
    <row r="76" spans="3:17" x14ac:dyDescent="0.25">
      <c r="C76" s="13" t="s">
        <v>202</v>
      </c>
      <c r="D76" s="13" t="s">
        <v>203</v>
      </c>
      <c r="F76" t="s">
        <v>26</v>
      </c>
      <c r="G76" t="s">
        <v>204</v>
      </c>
      <c r="I76" s="10" t="s">
        <v>28</v>
      </c>
      <c r="J76" s="1">
        <v>45483</v>
      </c>
      <c r="K76" s="1">
        <v>45512</v>
      </c>
      <c r="L76" s="25">
        <f ca="1">CLIENTES[[#This Row],[Fecha Vencimiento]]-$J$6</f>
        <v>-83</v>
      </c>
      <c r="N76" s="1" t="str">
        <f t="shared" ca="1" si="2"/>
        <v>Vencido</v>
      </c>
      <c r="O76" s="19"/>
      <c r="P76" s="2"/>
      <c r="Q76" s="2">
        <f t="shared" si="3"/>
        <v>0</v>
      </c>
    </row>
    <row r="77" spans="3:17" x14ac:dyDescent="0.25">
      <c r="C77" s="13" t="s">
        <v>205</v>
      </c>
      <c r="D77" s="13" t="s">
        <v>206</v>
      </c>
      <c r="E77" s="10">
        <v>1123532791</v>
      </c>
      <c r="F77" t="s">
        <v>26</v>
      </c>
      <c r="G77" t="s">
        <v>207</v>
      </c>
      <c r="H77" s="14">
        <v>3</v>
      </c>
      <c r="I77" s="10" t="s">
        <v>28</v>
      </c>
      <c r="J77" s="1">
        <v>45588</v>
      </c>
      <c r="K77" s="1">
        <v>45622</v>
      </c>
      <c r="L77" s="25">
        <f ca="1">CLIENTES[[#This Row],[Fecha Vencimiento]]-$J$6</f>
        <v>27</v>
      </c>
      <c r="N77" s="1" t="str">
        <f t="shared" ca="1" si="2"/>
        <v>Al dia</v>
      </c>
      <c r="O77" s="19">
        <v>45528</v>
      </c>
      <c r="P77" s="2"/>
      <c r="Q77" s="2">
        <f t="shared" si="3"/>
        <v>-45528</v>
      </c>
    </row>
    <row r="78" spans="3:17" x14ac:dyDescent="0.25">
      <c r="C78" s="13" t="s">
        <v>208</v>
      </c>
      <c r="D78" s="13" t="s">
        <v>209</v>
      </c>
      <c r="E78" s="10">
        <v>1122193518</v>
      </c>
      <c r="F78" t="s">
        <v>159</v>
      </c>
      <c r="G78" t="s">
        <v>210</v>
      </c>
      <c r="H78" s="14">
        <v>6</v>
      </c>
      <c r="I78" s="10" t="s">
        <v>183</v>
      </c>
      <c r="J78" s="1">
        <v>45567</v>
      </c>
      <c r="K78" s="1">
        <v>45599</v>
      </c>
      <c r="L78" s="25">
        <f ca="1">CLIENTES[[#This Row],[Fecha Vencimiento]]-$J$6</f>
        <v>4</v>
      </c>
      <c r="N78" s="1" t="str">
        <f t="shared" ca="1" si="2"/>
        <v>Al dia</v>
      </c>
      <c r="O78" s="19"/>
      <c r="P78" s="2"/>
      <c r="Q78" s="2">
        <f t="shared" si="3"/>
        <v>0</v>
      </c>
    </row>
    <row r="79" spans="3:17" x14ac:dyDescent="0.25">
      <c r="C79" s="13" t="s">
        <v>208</v>
      </c>
      <c r="D79" s="13" t="s">
        <v>211</v>
      </c>
      <c r="E79" s="10">
        <v>1122221707</v>
      </c>
      <c r="F79" t="s">
        <v>35</v>
      </c>
      <c r="G79" t="s">
        <v>212</v>
      </c>
      <c r="H79" s="14">
        <v>2</v>
      </c>
      <c r="I79" s="10" t="s">
        <v>28</v>
      </c>
      <c r="J79" s="1">
        <v>45581</v>
      </c>
      <c r="K79" s="1">
        <v>45612</v>
      </c>
      <c r="L79" s="25">
        <f ca="1">CLIENTES[[#This Row],[Fecha Vencimiento]]-$J$6</f>
        <v>17</v>
      </c>
      <c r="N79" s="1" t="str">
        <f t="shared" ca="1" si="2"/>
        <v>Al dia</v>
      </c>
      <c r="O79" s="19">
        <v>45551</v>
      </c>
      <c r="P79" s="2"/>
      <c r="Q79" s="2">
        <f t="shared" si="3"/>
        <v>-45551</v>
      </c>
    </row>
    <row r="80" spans="3:17" x14ac:dyDescent="0.25">
      <c r="C80" s="13" t="s">
        <v>213</v>
      </c>
      <c r="D80" s="13" t="s">
        <v>214</v>
      </c>
      <c r="E80" s="10" t="s">
        <v>3108</v>
      </c>
      <c r="F80" t="s">
        <v>26</v>
      </c>
      <c r="G80" t="s">
        <v>215</v>
      </c>
      <c r="H80" s="14">
        <v>6</v>
      </c>
      <c r="I80" s="10" t="s">
        <v>28</v>
      </c>
      <c r="J80" s="1">
        <v>45583</v>
      </c>
      <c r="K80" s="1">
        <v>45613</v>
      </c>
      <c r="L80" s="25">
        <f ca="1">CLIENTES[[#This Row],[Fecha Vencimiento]]-$J$6</f>
        <v>18</v>
      </c>
      <c r="N80" s="1" t="str">
        <f t="shared" ca="1" si="2"/>
        <v>Al dia</v>
      </c>
      <c r="O80" s="19"/>
      <c r="P80" s="2"/>
      <c r="Q80" s="2">
        <f t="shared" si="3"/>
        <v>0</v>
      </c>
    </row>
    <row r="81" spans="3:17" x14ac:dyDescent="0.25">
      <c r="C81" s="13" t="s">
        <v>213</v>
      </c>
      <c r="D81" s="13" t="s">
        <v>216</v>
      </c>
      <c r="E81" s="10">
        <v>1130074185</v>
      </c>
      <c r="F81" t="s">
        <v>26</v>
      </c>
      <c r="G81" t="s">
        <v>217</v>
      </c>
      <c r="I81" s="10" t="s">
        <v>28</v>
      </c>
      <c r="J81" s="1">
        <v>45517</v>
      </c>
      <c r="K81" s="1">
        <v>45543</v>
      </c>
      <c r="L81" s="25">
        <f ca="1">CLIENTES[[#This Row],[Fecha Vencimiento]]-$J$6</f>
        <v>-52</v>
      </c>
      <c r="N81" s="1" t="str">
        <f t="shared" ca="1" si="2"/>
        <v>Vencido</v>
      </c>
      <c r="O81" s="19"/>
      <c r="P81" s="2"/>
      <c r="Q81" s="2">
        <f t="shared" si="3"/>
        <v>0</v>
      </c>
    </row>
    <row r="82" spans="3:17" x14ac:dyDescent="0.25">
      <c r="C82" t="s">
        <v>218</v>
      </c>
      <c r="D82" s="3" t="s">
        <v>219</v>
      </c>
      <c r="F82" t="s">
        <v>26</v>
      </c>
      <c r="G82" t="s">
        <v>220</v>
      </c>
      <c r="I82" s="10" t="s">
        <v>28</v>
      </c>
      <c r="J82" s="1">
        <v>45496</v>
      </c>
      <c r="K82" s="1">
        <v>45527</v>
      </c>
      <c r="L82" s="25">
        <f ca="1">CLIENTES[[#This Row],[Fecha Vencimiento]]-$J$6</f>
        <v>-68</v>
      </c>
      <c r="M82" s="1"/>
      <c r="N82" s="1" t="str">
        <f t="shared" ca="1" si="2"/>
        <v>Vencido</v>
      </c>
      <c r="O82" s="19"/>
      <c r="P82" s="2"/>
      <c r="Q82" s="2">
        <f t="shared" si="3"/>
        <v>0</v>
      </c>
    </row>
    <row r="83" spans="3:17" x14ac:dyDescent="0.25">
      <c r="C83" t="s">
        <v>218</v>
      </c>
      <c r="D83" s="3" t="s">
        <v>203</v>
      </c>
      <c r="E83" s="10">
        <v>1136665736</v>
      </c>
      <c r="F83" t="s">
        <v>35</v>
      </c>
      <c r="G83" t="s">
        <v>221</v>
      </c>
      <c r="H83" s="14">
        <v>5</v>
      </c>
      <c r="I83" s="10" t="s">
        <v>28</v>
      </c>
      <c r="J83" s="1">
        <v>45574</v>
      </c>
      <c r="K83" s="1">
        <v>45604</v>
      </c>
      <c r="L83" s="25">
        <f ca="1">CLIENTES[[#This Row],[Fecha Vencimiento]]-$J$6</f>
        <v>9</v>
      </c>
      <c r="M83" s="1"/>
      <c r="N83" s="1" t="str">
        <f t="shared" ca="1" si="2"/>
        <v>Al dia</v>
      </c>
      <c r="O83" s="19"/>
      <c r="P83" s="2"/>
      <c r="Q83" s="2">
        <f t="shared" si="3"/>
        <v>0</v>
      </c>
    </row>
    <row r="84" spans="3:17" x14ac:dyDescent="0.25">
      <c r="C84" s="13" t="s">
        <v>218</v>
      </c>
      <c r="D84" s="13" t="s">
        <v>222</v>
      </c>
      <c r="E84" s="10">
        <v>1133330370</v>
      </c>
      <c r="F84" t="s">
        <v>26</v>
      </c>
      <c r="G84" t="s">
        <v>223</v>
      </c>
      <c r="H84" s="14">
        <v>1</v>
      </c>
      <c r="I84" s="10" t="s">
        <v>28</v>
      </c>
      <c r="J84" s="1">
        <v>45593</v>
      </c>
      <c r="K84" s="1">
        <v>45651</v>
      </c>
      <c r="L84" s="25">
        <f ca="1">CLIENTES[[#This Row],[Fecha Vencimiento]]-$J$6</f>
        <v>56</v>
      </c>
      <c r="N84" s="1" t="str">
        <f t="shared" ca="1" si="2"/>
        <v>Al dia</v>
      </c>
      <c r="O84" s="19"/>
      <c r="P84" s="2"/>
      <c r="Q84" s="2">
        <f t="shared" si="3"/>
        <v>0</v>
      </c>
    </row>
    <row r="85" spans="3:17" x14ac:dyDescent="0.25">
      <c r="C85" t="s">
        <v>224</v>
      </c>
      <c r="D85" s="3" t="s">
        <v>225</v>
      </c>
      <c r="E85" s="10">
        <v>1140494984</v>
      </c>
      <c r="F85" t="s">
        <v>26</v>
      </c>
      <c r="G85" t="s">
        <v>226</v>
      </c>
      <c r="H85" s="14">
        <v>2</v>
      </c>
      <c r="I85" s="10" t="s">
        <v>28</v>
      </c>
      <c r="J85" s="1">
        <v>45572</v>
      </c>
      <c r="K85" s="1">
        <v>45601</v>
      </c>
      <c r="L85" s="25">
        <f ca="1">CLIENTES[[#This Row],[Fecha Vencimiento]]-$J$6</f>
        <v>6</v>
      </c>
      <c r="M85" s="1"/>
      <c r="N85" s="1" t="str">
        <f t="shared" ca="1" si="2"/>
        <v>Al dia</v>
      </c>
      <c r="O85" s="19">
        <v>45540</v>
      </c>
      <c r="P85" s="2"/>
      <c r="Q85" s="2">
        <f t="shared" si="3"/>
        <v>-45540</v>
      </c>
    </row>
    <row r="86" spans="3:17" x14ac:dyDescent="0.25">
      <c r="C86" s="13" t="s">
        <v>227</v>
      </c>
      <c r="D86" s="13" t="s">
        <v>228</v>
      </c>
      <c r="F86" t="s">
        <v>26</v>
      </c>
      <c r="G86" t="s">
        <v>229</v>
      </c>
      <c r="I86" s="10" t="s">
        <v>28</v>
      </c>
      <c r="J86" s="1">
        <v>45455</v>
      </c>
      <c r="K86" s="1">
        <v>45483</v>
      </c>
      <c r="L86" s="25">
        <f ca="1">CLIENTES[[#This Row],[Fecha Vencimiento]]-$J$6</f>
        <v>-112</v>
      </c>
      <c r="N86" s="1" t="str">
        <f t="shared" ca="1" si="2"/>
        <v>Vencido</v>
      </c>
      <c r="O86" s="19"/>
      <c r="P86" s="2"/>
      <c r="Q86" s="2">
        <f t="shared" si="3"/>
        <v>0</v>
      </c>
    </row>
    <row r="87" spans="3:17" x14ac:dyDescent="0.25">
      <c r="C87" s="13" t="s">
        <v>230</v>
      </c>
      <c r="D87" s="13" t="s">
        <v>231</v>
      </c>
      <c r="E87" s="10">
        <v>1162292051</v>
      </c>
      <c r="F87" t="s">
        <v>232</v>
      </c>
      <c r="G87" t="s">
        <v>233</v>
      </c>
      <c r="H87" s="14">
        <v>4</v>
      </c>
      <c r="I87" s="10" t="s">
        <v>183</v>
      </c>
      <c r="J87" s="1">
        <v>45591</v>
      </c>
      <c r="K87" s="1">
        <v>45622</v>
      </c>
      <c r="L87" s="25">
        <f ca="1">CLIENTES[[#This Row],[Fecha Vencimiento]]-$J$6</f>
        <v>27</v>
      </c>
      <c r="N87" s="1" t="str">
        <f t="shared" ca="1" si="2"/>
        <v>Al dia</v>
      </c>
      <c r="O87" s="19"/>
      <c r="P87" s="2"/>
      <c r="Q87" s="2">
        <f t="shared" si="3"/>
        <v>0</v>
      </c>
    </row>
    <row r="88" spans="3:17" x14ac:dyDescent="0.25">
      <c r="C88" s="13" t="s">
        <v>230</v>
      </c>
      <c r="D88" s="13" t="s">
        <v>234</v>
      </c>
      <c r="E88" s="10">
        <v>1164345085</v>
      </c>
      <c r="F88" t="s">
        <v>35</v>
      </c>
      <c r="G88" t="s">
        <v>235</v>
      </c>
      <c r="H88" s="14">
        <v>2</v>
      </c>
      <c r="I88" s="10" t="s">
        <v>28</v>
      </c>
      <c r="J88" s="1">
        <v>45590</v>
      </c>
      <c r="K88" s="1">
        <v>45622</v>
      </c>
      <c r="L88" s="25">
        <f ca="1">CLIENTES[[#This Row],[Fecha Vencimiento]]-$J$6</f>
        <v>27</v>
      </c>
      <c r="N88" s="1" t="str">
        <f t="shared" ca="1" si="2"/>
        <v>Al dia</v>
      </c>
      <c r="O88" s="19">
        <v>45561</v>
      </c>
      <c r="P88" s="2"/>
      <c r="Q88" s="2">
        <f t="shared" si="3"/>
        <v>-45561</v>
      </c>
    </row>
    <row r="89" spans="3:17" x14ac:dyDescent="0.25">
      <c r="C89" s="13" t="s">
        <v>236</v>
      </c>
      <c r="D89" s="13" t="s">
        <v>237</v>
      </c>
      <c r="F89" t="s">
        <v>26</v>
      </c>
      <c r="G89" t="s">
        <v>238</v>
      </c>
      <c r="I89" s="10" t="s">
        <v>28</v>
      </c>
      <c r="J89" s="1">
        <v>45499</v>
      </c>
      <c r="K89" s="1">
        <v>45523</v>
      </c>
      <c r="L89" s="25">
        <f ca="1">CLIENTES[[#This Row],[Fecha Vencimiento]]-$J$6</f>
        <v>-72</v>
      </c>
      <c r="N89" s="1" t="str">
        <f t="shared" ca="1" si="2"/>
        <v>Vencido</v>
      </c>
      <c r="O89" s="19"/>
      <c r="P89" s="2"/>
      <c r="Q89" s="2">
        <f t="shared" si="3"/>
        <v>0</v>
      </c>
    </row>
    <row r="90" spans="3:17" x14ac:dyDescent="0.25">
      <c r="C90" s="13" t="s">
        <v>236</v>
      </c>
      <c r="D90" s="13" t="s">
        <v>237</v>
      </c>
      <c r="F90" t="s">
        <v>26</v>
      </c>
      <c r="G90" t="s">
        <v>239</v>
      </c>
      <c r="H90" s="14">
        <v>2</v>
      </c>
      <c r="I90" s="10" t="s">
        <v>28</v>
      </c>
      <c r="J90" s="1">
        <v>45586</v>
      </c>
      <c r="K90" s="1">
        <v>45616</v>
      </c>
      <c r="L90" s="25">
        <f ca="1">CLIENTES[[#This Row],[Fecha Vencimiento]]-$J$6</f>
        <v>21</v>
      </c>
      <c r="N90" s="1" t="str">
        <f t="shared" ca="1" si="2"/>
        <v>Al dia</v>
      </c>
      <c r="O90" s="19"/>
      <c r="P90" s="2"/>
      <c r="Q90" s="2">
        <f t="shared" si="3"/>
        <v>0</v>
      </c>
    </row>
    <row r="91" spans="3:17" x14ac:dyDescent="0.25">
      <c r="C91" s="13" t="s">
        <v>240</v>
      </c>
      <c r="D91" s="13" t="s">
        <v>241</v>
      </c>
      <c r="E91" s="10" t="s">
        <v>3106</v>
      </c>
      <c r="F91" t="s">
        <v>26</v>
      </c>
      <c r="G91" t="s">
        <v>242</v>
      </c>
      <c r="H91" s="14">
        <v>4</v>
      </c>
      <c r="I91" s="10" t="s">
        <v>28</v>
      </c>
      <c r="J91" s="1">
        <v>45545</v>
      </c>
      <c r="K91" s="1">
        <v>45573</v>
      </c>
      <c r="L91" s="25">
        <f ca="1">CLIENTES[[#This Row],[Fecha Vencimiento]]-$J$6</f>
        <v>-22</v>
      </c>
      <c r="N91" s="1" t="str">
        <f t="shared" ca="1" si="2"/>
        <v>Vencido</v>
      </c>
      <c r="O91" s="19"/>
      <c r="P91" s="2"/>
      <c r="Q91" s="2">
        <f t="shared" si="3"/>
        <v>0</v>
      </c>
    </row>
    <row r="92" spans="3:17" x14ac:dyDescent="0.25">
      <c r="C92" s="13" t="s">
        <v>243</v>
      </c>
      <c r="D92" s="13" t="s">
        <v>244</v>
      </c>
      <c r="F92" t="s">
        <v>26</v>
      </c>
      <c r="G92" t="s">
        <v>245</v>
      </c>
      <c r="I92" s="10" t="s">
        <v>28</v>
      </c>
      <c r="J92" s="1">
        <v>45449</v>
      </c>
      <c r="K92" s="1">
        <v>45482</v>
      </c>
      <c r="L92" s="25">
        <f ca="1">CLIENTES[[#This Row],[Fecha Vencimiento]]-$J$6</f>
        <v>-113</v>
      </c>
      <c r="N92" s="1" t="str">
        <f t="shared" ca="1" si="2"/>
        <v>Vencido</v>
      </c>
      <c r="O92" s="19"/>
      <c r="P92" s="2"/>
      <c r="Q92" s="2">
        <f t="shared" si="3"/>
        <v>0</v>
      </c>
    </row>
    <row r="93" spans="3:17" x14ac:dyDescent="0.25">
      <c r="C93" s="13" t="s">
        <v>246</v>
      </c>
      <c r="D93" s="13" t="s">
        <v>247</v>
      </c>
      <c r="F93" t="s">
        <v>26</v>
      </c>
      <c r="G93" t="s">
        <v>248</v>
      </c>
      <c r="I93" s="10" t="s">
        <v>28</v>
      </c>
      <c r="J93" s="1">
        <v>45467</v>
      </c>
      <c r="K93" s="1">
        <v>45497</v>
      </c>
      <c r="L93" s="25">
        <f ca="1">CLIENTES[[#This Row],[Fecha Vencimiento]]-$J$6</f>
        <v>-98</v>
      </c>
      <c r="N93" s="1" t="str">
        <f t="shared" ca="1" si="2"/>
        <v>Vencido</v>
      </c>
      <c r="O93" s="19"/>
      <c r="P93" s="2"/>
      <c r="Q93" s="2">
        <f t="shared" si="3"/>
        <v>0</v>
      </c>
    </row>
    <row r="94" spans="3:17" x14ac:dyDescent="0.25">
      <c r="C94" s="13" t="s">
        <v>246</v>
      </c>
      <c r="D94" s="13" t="s">
        <v>249</v>
      </c>
      <c r="E94" s="10">
        <v>1161658286</v>
      </c>
      <c r="F94" t="s">
        <v>26</v>
      </c>
      <c r="G94" t="s">
        <v>250</v>
      </c>
      <c r="H94" s="14">
        <v>5</v>
      </c>
      <c r="I94" s="10" t="s">
        <v>28</v>
      </c>
      <c r="J94" s="1">
        <v>45589</v>
      </c>
      <c r="K94" s="1">
        <v>45620</v>
      </c>
      <c r="L94" s="25">
        <f ca="1">CLIENTES[[#This Row],[Fecha Vencimiento]]-$J$6</f>
        <v>25</v>
      </c>
      <c r="N94" s="1" t="str">
        <f t="shared" ca="1" si="2"/>
        <v>Al dia</v>
      </c>
      <c r="O94" s="19"/>
      <c r="P94" s="2"/>
      <c r="Q94" s="2">
        <f t="shared" si="3"/>
        <v>0</v>
      </c>
    </row>
    <row r="95" spans="3:17" x14ac:dyDescent="0.25">
      <c r="C95" t="s">
        <v>251</v>
      </c>
      <c r="D95" s="3" t="s">
        <v>252</v>
      </c>
      <c r="F95" t="s">
        <v>159</v>
      </c>
      <c r="G95" t="s">
        <v>253</v>
      </c>
      <c r="H95" s="14">
        <v>1</v>
      </c>
      <c r="I95" s="10" t="s">
        <v>183</v>
      </c>
      <c r="J95" s="1">
        <v>45471</v>
      </c>
      <c r="K95" s="1">
        <v>45500</v>
      </c>
      <c r="L95" s="25">
        <f ca="1">CLIENTES[[#This Row],[Fecha Vencimiento]]-$J$6</f>
        <v>-95</v>
      </c>
      <c r="M95" s="1"/>
      <c r="N95" s="1" t="str">
        <f t="shared" ca="1" si="2"/>
        <v>Vencido</v>
      </c>
      <c r="O95" s="19"/>
      <c r="P95" s="2"/>
      <c r="Q95" s="2">
        <f t="shared" si="3"/>
        <v>0</v>
      </c>
    </row>
    <row r="96" spans="3:17" x14ac:dyDescent="0.25">
      <c r="C96" t="s">
        <v>251</v>
      </c>
      <c r="D96" s="3" t="s">
        <v>254</v>
      </c>
      <c r="E96" s="10">
        <v>1124003828</v>
      </c>
      <c r="F96" t="s">
        <v>26</v>
      </c>
      <c r="G96" t="s">
        <v>255</v>
      </c>
      <c r="H96" s="14">
        <v>1</v>
      </c>
      <c r="I96" s="10" t="s">
        <v>28</v>
      </c>
      <c r="J96" s="1">
        <v>45555</v>
      </c>
      <c r="K96" s="1">
        <v>45585</v>
      </c>
      <c r="L96" s="25">
        <f ca="1">CLIENTES[[#This Row],[Fecha Vencimiento]]-$J$6</f>
        <v>-10</v>
      </c>
      <c r="M96" s="1"/>
      <c r="N96" s="1" t="str">
        <f t="shared" ca="1" si="2"/>
        <v>Vencido</v>
      </c>
      <c r="O96" s="19">
        <v>45555</v>
      </c>
      <c r="P96" s="2"/>
      <c r="Q96" s="2">
        <f t="shared" si="3"/>
        <v>-45555</v>
      </c>
    </row>
    <row r="97" spans="3:17" x14ac:dyDescent="0.25">
      <c r="C97" t="s">
        <v>251</v>
      </c>
      <c r="D97" s="3" t="s">
        <v>256</v>
      </c>
      <c r="E97" s="10">
        <v>1127230447</v>
      </c>
      <c r="F97" t="s">
        <v>26</v>
      </c>
      <c r="G97" t="s">
        <v>257</v>
      </c>
      <c r="H97" s="14">
        <v>4</v>
      </c>
      <c r="I97" s="10" t="s">
        <v>28</v>
      </c>
      <c r="J97" s="1">
        <v>45594</v>
      </c>
      <c r="K97" s="1">
        <v>45625</v>
      </c>
      <c r="L97" s="25">
        <f ca="1">CLIENTES[[#This Row],[Fecha Vencimiento]]-$J$6</f>
        <v>30</v>
      </c>
      <c r="M97" s="1"/>
      <c r="N97" s="1" t="str">
        <f t="shared" ca="1" si="2"/>
        <v>Al dia</v>
      </c>
      <c r="O97" s="19"/>
      <c r="P97" s="2"/>
      <c r="Q97" s="2">
        <f t="shared" si="3"/>
        <v>0</v>
      </c>
    </row>
    <row r="98" spans="3:17" x14ac:dyDescent="0.25">
      <c r="C98" t="s">
        <v>251</v>
      </c>
      <c r="D98" s="3" t="s">
        <v>258</v>
      </c>
      <c r="E98" s="10">
        <v>1132751986</v>
      </c>
      <c r="F98" t="s">
        <v>259</v>
      </c>
      <c r="G98" t="s">
        <v>260</v>
      </c>
      <c r="H98" s="14">
        <v>5</v>
      </c>
      <c r="I98" s="10" t="s">
        <v>75</v>
      </c>
      <c r="J98" s="1">
        <v>45566</v>
      </c>
      <c r="K98" s="1">
        <v>45592</v>
      </c>
      <c r="L98" s="25">
        <f ca="1">CLIENTES[[#This Row],[Fecha Vencimiento]]-$J$6</f>
        <v>-3</v>
      </c>
      <c r="M98" s="1"/>
      <c r="N98" s="1" t="str">
        <f t="shared" ca="1" si="2"/>
        <v>Vencido</v>
      </c>
      <c r="O98" s="19"/>
      <c r="P98" s="2"/>
      <c r="Q98" s="2">
        <f t="shared" si="3"/>
        <v>0</v>
      </c>
    </row>
    <row r="99" spans="3:17" x14ac:dyDescent="0.25">
      <c r="C99" t="s">
        <v>251</v>
      </c>
      <c r="D99" s="3" t="s">
        <v>261</v>
      </c>
      <c r="E99" s="10" t="s">
        <v>2931</v>
      </c>
      <c r="F99" t="s">
        <v>35</v>
      </c>
      <c r="G99" t="s">
        <v>262</v>
      </c>
      <c r="H99" s="14">
        <v>1</v>
      </c>
      <c r="I99" s="10" t="s">
        <v>28</v>
      </c>
      <c r="J99" s="1">
        <v>45562</v>
      </c>
      <c r="K99" s="1">
        <v>45592</v>
      </c>
      <c r="L99" s="25">
        <f ca="1">CLIENTES[[#This Row],[Fecha Vencimiento]]-$J$6</f>
        <v>-3</v>
      </c>
      <c r="M99" s="1"/>
      <c r="N99" s="1" t="str">
        <f t="shared" ca="1" si="2"/>
        <v>Vencido</v>
      </c>
      <c r="O99" s="19">
        <v>45562</v>
      </c>
      <c r="P99" s="2"/>
      <c r="Q99" s="2">
        <f t="shared" si="3"/>
        <v>-45562</v>
      </c>
    </row>
    <row r="100" spans="3:17" x14ac:dyDescent="0.25">
      <c r="C100" s="13" t="s">
        <v>263</v>
      </c>
      <c r="D100" s="13" t="s">
        <v>264</v>
      </c>
      <c r="E100" s="10">
        <v>1166743578</v>
      </c>
      <c r="F100" t="s">
        <v>26</v>
      </c>
      <c r="G100" t="s">
        <v>265</v>
      </c>
      <c r="H100" s="14">
        <v>4</v>
      </c>
      <c r="I100" s="10" t="s">
        <v>28</v>
      </c>
      <c r="J100" s="1">
        <v>45582</v>
      </c>
      <c r="K100" s="1">
        <v>45608</v>
      </c>
      <c r="L100" s="25">
        <f ca="1">CLIENTES[[#This Row],[Fecha Vencimiento]]-$J$6</f>
        <v>13</v>
      </c>
      <c r="N100" s="1" t="str">
        <f t="shared" ca="1" si="2"/>
        <v>Al dia</v>
      </c>
      <c r="O100" s="19"/>
      <c r="P100" s="2"/>
      <c r="Q100" s="2">
        <f t="shared" si="3"/>
        <v>0</v>
      </c>
    </row>
    <row r="101" spans="3:17" x14ac:dyDescent="0.25">
      <c r="C101" s="13" t="s">
        <v>263</v>
      </c>
      <c r="D101" s="13" t="s">
        <v>266</v>
      </c>
      <c r="E101" s="10" t="s">
        <v>2931</v>
      </c>
      <c r="F101" t="s">
        <v>26</v>
      </c>
      <c r="G101" t="s">
        <v>267</v>
      </c>
      <c r="H101" s="14">
        <v>6</v>
      </c>
      <c r="I101" s="10" t="s">
        <v>28</v>
      </c>
      <c r="J101" s="1">
        <v>45590</v>
      </c>
      <c r="K101" s="1">
        <v>45617</v>
      </c>
      <c r="L101" s="25">
        <f ca="1">CLIENTES[[#This Row],[Fecha Vencimiento]]-$J$6</f>
        <v>22</v>
      </c>
      <c r="N101" s="1" t="str">
        <f t="shared" ca="1" si="2"/>
        <v>Al dia</v>
      </c>
      <c r="O101" s="19"/>
      <c r="P101" s="2"/>
      <c r="Q101" s="2">
        <f t="shared" si="3"/>
        <v>0</v>
      </c>
    </row>
    <row r="102" spans="3:17" x14ac:dyDescent="0.25">
      <c r="C102" s="13" t="s">
        <v>268</v>
      </c>
      <c r="D102" s="13" t="s">
        <v>269</v>
      </c>
      <c r="F102" t="s">
        <v>26</v>
      </c>
      <c r="G102" t="s">
        <v>270</v>
      </c>
      <c r="I102" s="10" t="s">
        <v>28</v>
      </c>
      <c r="J102" s="1">
        <v>45462</v>
      </c>
      <c r="K102" s="1">
        <v>45492</v>
      </c>
      <c r="L102" s="25">
        <f ca="1">CLIENTES[[#This Row],[Fecha Vencimiento]]-$J$6</f>
        <v>-103</v>
      </c>
      <c r="N102" s="1" t="str">
        <f t="shared" ca="1" si="2"/>
        <v>Vencido</v>
      </c>
      <c r="O102" s="19"/>
      <c r="P102" s="2"/>
      <c r="Q102" s="2">
        <f t="shared" si="3"/>
        <v>0</v>
      </c>
    </row>
    <row r="103" spans="3:17" x14ac:dyDescent="0.25">
      <c r="C103" s="13" t="s">
        <v>271</v>
      </c>
      <c r="D103" s="13" t="s">
        <v>272</v>
      </c>
      <c r="E103" s="10">
        <v>1155242711</v>
      </c>
      <c r="F103" t="s">
        <v>159</v>
      </c>
      <c r="G103" t="s">
        <v>273</v>
      </c>
      <c r="H103" s="14">
        <v>7</v>
      </c>
      <c r="I103" s="10" t="s">
        <v>79</v>
      </c>
      <c r="J103" s="1">
        <v>45584</v>
      </c>
      <c r="K103" s="1">
        <v>45613</v>
      </c>
      <c r="L103" s="25">
        <f ca="1">CLIENTES[[#This Row],[Fecha Vencimiento]]-$J$6</f>
        <v>18</v>
      </c>
      <c r="N103" s="1" t="str">
        <f t="shared" ca="1" si="2"/>
        <v>Al dia</v>
      </c>
      <c r="O103" s="19"/>
      <c r="P103" s="2"/>
      <c r="Q103" s="2">
        <f t="shared" si="3"/>
        <v>0</v>
      </c>
    </row>
    <row r="104" spans="3:17" x14ac:dyDescent="0.25">
      <c r="C104" t="s">
        <v>274</v>
      </c>
      <c r="D104" s="3" t="s">
        <v>275</v>
      </c>
      <c r="E104" s="10">
        <v>1165433677</v>
      </c>
      <c r="F104" t="s">
        <v>26</v>
      </c>
      <c r="G104" s="20" t="s">
        <v>276</v>
      </c>
      <c r="H104" s="14">
        <v>3</v>
      </c>
      <c r="I104" s="10" t="s">
        <v>28</v>
      </c>
      <c r="J104" s="1">
        <v>45539</v>
      </c>
      <c r="K104" s="1">
        <v>45559</v>
      </c>
      <c r="L104" s="25">
        <f ca="1">CLIENTES[[#This Row],[Fecha Vencimiento]]-$J$6</f>
        <v>-36</v>
      </c>
      <c r="M104" s="1"/>
      <c r="N104" s="1" t="str">
        <f t="shared" ca="1" si="2"/>
        <v>Vencido</v>
      </c>
      <c r="O104" s="19"/>
      <c r="P104" s="2"/>
      <c r="Q104" s="2">
        <f t="shared" si="3"/>
        <v>0</v>
      </c>
    </row>
    <row r="105" spans="3:17" x14ac:dyDescent="0.25">
      <c r="C105" s="13" t="s">
        <v>274</v>
      </c>
      <c r="D105" s="13" t="s">
        <v>277</v>
      </c>
      <c r="E105" s="10" t="s">
        <v>2931</v>
      </c>
      <c r="F105" t="s">
        <v>35</v>
      </c>
      <c r="G105" t="s">
        <v>278</v>
      </c>
      <c r="H105" s="14">
        <v>1</v>
      </c>
      <c r="I105" s="10" t="s">
        <v>28</v>
      </c>
      <c r="J105" s="1">
        <v>45532</v>
      </c>
      <c r="K105" s="1">
        <v>45563</v>
      </c>
      <c r="L105" s="25">
        <f ca="1">CLIENTES[[#This Row],[Fecha Vencimiento]]-$J$6</f>
        <v>-32</v>
      </c>
      <c r="N105" s="1" t="str">
        <f t="shared" ca="1" si="2"/>
        <v>Vencido</v>
      </c>
      <c r="O105" s="19">
        <v>45532</v>
      </c>
      <c r="P105" s="2"/>
      <c r="Q105" s="2">
        <f t="shared" si="3"/>
        <v>-45532</v>
      </c>
    </row>
    <row r="106" spans="3:17" x14ac:dyDescent="0.25">
      <c r="C106" s="13" t="s">
        <v>279</v>
      </c>
      <c r="D106" s="13" t="s">
        <v>280</v>
      </c>
      <c r="E106" s="10">
        <v>1165409073</v>
      </c>
      <c r="F106" t="s">
        <v>26</v>
      </c>
      <c r="G106" t="s">
        <v>281</v>
      </c>
      <c r="H106" s="14">
        <v>3</v>
      </c>
      <c r="I106" s="10" t="s">
        <v>28</v>
      </c>
      <c r="J106" s="1">
        <v>45569</v>
      </c>
      <c r="K106" s="1">
        <v>45602</v>
      </c>
      <c r="L106" s="25">
        <f ca="1">CLIENTES[[#This Row],[Fecha Vencimiento]]-$J$6</f>
        <v>7</v>
      </c>
      <c r="N106" s="1" t="str">
        <f t="shared" ca="1" si="2"/>
        <v>Al dia</v>
      </c>
      <c r="O106" s="19"/>
      <c r="P106" s="2"/>
      <c r="Q106" s="2">
        <f t="shared" si="3"/>
        <v>0</v>
      </c>
    </row>
    <row r="107" spans="3:17" x14ac:dyDescent="0.25">
      <c r="C107" s="13" t="s">
        <v>282</v>
      </c>
      <c r="D107" s="13" t="s">
        <v>283</v>
      </c>
      <c r="E107" s="10">
        <v>1141928121</v>
      </c>
      <c r="F107" t="s">
        <v>26</v>
      </c>
      <c r="G107" t="s">
        <v>284</v>
      </c>
      <c r="H107" s="14">
        <v>6</v>
      </c>
      <c r="I107" s="10" t="s">
        <v>28</v>
      </c>
      <c r="J107" s="1">
        <v>45590</v>
      </c>
      <c r="K107" s="1">
        <v>45621</v>
      </c>
      <c r="L107" s="25">
        <f ca="1">CLIENTES[[#This Row],[Fecha Vencimiento]]-$J$6</f>
        <v>26</v>
      </c>
      <c r="N107" s="1" t="str">
        <f t="shared" ca="1" si="2"/>
        <v>Al dia</v>
      </c>
      <c r="O107" s="19"/>
      <c r="P107" s="2"/>
      <c r="Q107" s="2">
        <f t="shared" si="3"/>
        <v>0</v>
      </c>
    </row>
    <row r="108" spans="3:17" x14ac:dyDescent="0.25">
      <c r="C108" s="13" t="s">
        <v>285</v>
      </c>
      <c r="D108" s="13" t="s">
        <v>286</v>
      </c>
      <c r="E108" s="10">
        <v>1153354342</v>
      </c>
      <c r="F108" t="s">
        <v>26</v>
      </c>
      <c r="G108" t="s">
        <v>287</v>
      </c>
      <c r="H108" s="14">
        <v>2</v>
      </c>
      <c r="I108" s="10" t="s">
        <v>28</v>
      </c>
      <c r="J108" s="1">
        <v>45565</v>
      </c>
      <c r="K108" s="1">
        <v>45595</v>
      </c>
      <c r="L108" s="25">
        <f ca="1">CLIENTES[[#This Row],[Fecha Vencimiento]]-$J$6</f>
        <v>0</v>
      </c>
      <c r="N108" s="1" t="str">
        <f t="shared" ca="1" si="2"/>
        <v>Vence hoy</v>
      </c>
      <c r="O108" s="19">
        <v>45534</v>
      </c>
      <c r="P108" s="2"/>
      <c r="Q108" s="2">
        <f t="shared" si="3"/>
        <v>-45534</v>
      </c>
    </row>
    <row r="109" spans="3:17" x14ac:dyDescent="0.25">
      <c r="C109" s="13" t="s">
        <v>285</v>
      </c>
      <c r="D109" s="13" t="s">
        <v>288</v>
      </c>
      <c r="E109" s="10">
        <v>1124894168</v>
      </c>
      <c r="F109" t="s">
        <v>26</v>
      </c>
      <c r="G109" t="s">
        <v>289</v>
      </c>
      <c r="H109" s="14">
        <v>2</v>
      </c>
      <c r="I109" s="10" t="s">
        <v>28</v>
      </c>
      <c r="J109" s="1">
        <v>45569</v>
      </c>
      <c r="K109" s="1">
        <v>45591</v>
      </c>
      <c r="L109" s="25">
        <f ca="1">CLIENTES[[#This Row],[Fecha Vencimiento]]-$J$6</f>
        <v>-4</v>
      </c>
      <c r="N109" s="1" t="str">
        <f t="shared" ca="1" si="2"/>
        <v>Vencido</v>
      </c>
      <c r="O109" s="19"/>
      <c r="P109" s="2"/>
      <c r="Q109" s="2">
        <f t="shared" si="3"/>
        <v>0</v>
      </c>
    </row>
    <row r="110" spans="3:17" x14ac:dyDescent="0.25">
      <c r="C110" s="13" t="s">
        <v>290</v>
      </c>
      <c r="D110" s="13" t="s">
        <v>291</v>
      </c>
      <c r="E110" s="10" t="s">
        <v>2931</v>
      </c>
      <c r="F110" t="s">
        <v>26</v>
      </c>
      <c r="G110" t="s">
        <v>292</v>
      </c>
      <c r="H110" s="14">
        <v>5</v>
      </c>
      <c r="I110" s="10" t="s">
        <v>28</v>
      </c>
      <c r="J110" s="1">
        <v>45546</v>
      </c>
      <c r="K110" s="1">
        <v>45582</v>
      </c>
      <c r="L110" s="25">
        <f ca="1">CLIENTES[[#This Row],[Fecha Vencimiento]]-$J$6</f>
        <v>-13</v>
      </c>
      <c r="N110" s="1" t="str">
        <f t="shared" ca="1" si="2"/>
        <v>Vencido</v>
      </c>
      <c r="O110" s="19"/>
      <c r="P110" s="2"/>
      <c r="Q110" s="2">
        <f t="shared" si="3"/>
        <v>0</v>
      </c>
    </row>
    <row r="111" spans="3:17" x14ac:dyDescent="0.25">
      <c r="C111" s="13" t="s">
        <v>293</v>
      </c>
      <c r="D111" s="13" t="s">
        <v>294</v>
      </c>
      <c r="F111" t="s">
        <v>26</v>
      </c>
      <c r="G111" t="s">
        <v>295</v>
      </c>
      <c r="I111" s="10" t="s">
        <v>28</v>
      </c>
      <c r="J111" s="1">
        <v>45453</v>
      </c>
      <c r="K111" s="1">
        <v>45483</v>
      </c>
      <c r="L111" s="25">
        <f ca="1">CLIENTES[[#This Row],[Fecha Vencimiento]]-$J$6</f>
        <v>-112</v>
      </c>
      <c r="N111" s="1" t="str">
        <f t="shared" ca="1" si="2"/>
        <v>Vencido</v>
      </c>
      <c r="O111" s="19"/>
      <c r="P111" s="2"/>
      <c r="Q111" s="2">
        <f t="shared" si="3"/>
        <v>0</v>
      </c>
    </row>
    <row r="112" spans="3:17" x14ac:dyDescent="0.25">
      <c r="C112" s="13" t="s">
        <v>296</v>
      </c>
      <c r="D112" s="13" t="s">
        <v>297</v>
      </c>
      <c r="E112" s="10">
        <v>1139520093</v>
      </c>
      <c r="F112" t="s">
        <v>26</v>
      </c>
      <c r="G112" t="s">
        <v>298</v>
      </c>
      <c r="H112" s="14">
        <v>1</v>
      </c>
      <c r="I112" s="10" t="s">
        <v>28</v>
      </c>
      <c r="J112" s="1">
        <v>45581</v>
      </c>
      <c r="K112" s="1">
        <v>45612</v>
      </c>
      <c r="L112" s="25">
        <f ca="1">CLIENTES[[#This Row],[Fecha Vencimiento]]-$J$6</f>
        <v>17</v>
      </c>
      <c r="N112" s="1" t="str">
        <f t="shared" ca="1" si="2"/>
        <v>Al dia</v>
      </c>
      <c r="O112" s="19">
        <v>45581</v>
      </c>
      <c r="P112" s="2"/>
      <c r="Q112" s="2">
        <f t="shared" si="3"/>
        <v>-45581</v>
      </c>
    </row>
    <row r="113" spans="3:17" x14ac:dyDescent="0.25">
      <c r="C113" s="13" t="s">
        <v>299</v>
      </c>
      <c r="D113" s="13" t="s">
        <v>300</v>
      </c>
      <c r="E113" s="10">
        <v>1138558916</v>
      </c>
      <c r="F113" t="s">
        <v>35</v>
      </c>
      <c r="G113" t="s">
        <v>301</v>
      </c>
      <c r="I113" s="10" t="s">
        <v>28</v>
      </c>
      <c r="J113" s="1">
        <v>45524</v>
      </c>
      <c r="K113" s="1">
        <v>45555</v>
      </c>
      <c r="L113" s="25">
        <f ca="1">CLIENTES[[#This Row],[Fecha Vencimiento]]-$J$6</f>
        <v>-40</v>
      </c>
      <c r="N113" s="1" t="str">
        <f t="shared" ca="1" si="2"/>
        <v>Vencido</v>
      </c>
      <c r="O113" s="19"/>
      <c r="P113" s="2"/>
      <c r="Q113" s="2">
        <f t="shared" si="3"/>
        <v>0</v>
      </c>
    </row>
    <row r="114" spans="3:17" x14ac:dyDescent="0.25">
      <c r="C114" s="13" t="s">
        <v>302</v>
      </c>
      <c r="D114" s="13" t="s">
        <v>303</v>
      </c>
      <c r="F114" t="s">
        <v>26</v>
      </c>
      <c r="G114" t="s">
        <v>304</v>
      </c>
      <c r="I114" s="10" t="s">
        <v>28</v>
      </c>
      <c r="J114" s="1">
        <v>45500</v>
      </c>
      <c r="K114" s="1">
        <v>45531</v>
      </c>
      <c r="L114" s="25">
        <f ca="1">CLIENTES[[#This Row],[Fecha Vencimiento]]-$J$6</f>
        <v>-64</v>
      </c>
      <c r="N114" s="1" t="str">
        <f t="shared" ca="1" si="2"/>
        <v>Vencido</v>
      </c>
      <c r="O114" s="19"/>
      <c r="P114" s="2"/>
      <c r="Q114" s="2">
        <f t="shared" si="3"/>
        <v>0</v>
      </c>
    </row>
    <row r="115" spans="3:17" x14ac:dyDescent="0.25">
      <c r="C115" s="13" t="s">
        <v>302</v>
      </c>
      <c r="D115" s="13" t="s">
        <v>305</v>
      </c>
      <c r="E115" s="10">
        <v>1125007763</v>
      </c>
      <c r="F115" t="s">
        <v>26</v>
      </c>
      <c r="G115" t="s">
        <v>306</v>
      </c>
      <c r="H115" s="14">
        <v>2</v>
      </c>
      <c r="I115" s="10" t="s">
        <v>28</v>
      </c>
      <c r="J115" s="1">
        <v>45581</v>
      </c>
      <c r="K115" s="1">
        <v>45612</v>
      </c>
      <c r="L115" s="25">
        <f ca="1">CLIENTES[[#This Row],[Fecha Vencimiento]]-$J$6</f>
        <v>17</v>
      </c>
      <c r="N115" s="1" t="str">
        <f t="shared" ca="1" si="2"/>
        <v>Al dia</v>
      </c>
      <c r="O115" s="19">
        <v>45551</v>
      </c>
      <c r="P115" s="2"/>
      <c r="Q115" s="2">
        <f t="shared" si="3"/>
        <v>-45551</v>
      </c>
    </row>
    <row r="116" spans="3:17" x14ac:dyDescent="0.25">
      <c r="C116" s="13" t="s">
        <v>302</v>
      </c>
      <c r="D116" s="13" t="s">
        <v>307</v>
      </c>
      <c r="E116" s="10">
        <v>1168626775</v>
      </c>
      <c r="F116" t="s">
        <v>26</v>
      </c>
      <c r="G116" t="s">
        <v>308</v>
      </c>
      <c r="H116" s="14">
        <v>2</v>
      </c>
      <c r="I116" s="10" t="s">
        <v>28</v>
      </c>
      <c r="J116" s="1">
        <v>45594</v>
      </c>
      <c r="K116" s="1">
        <v>45622</v>
      </c>
      <c r="L116" s="25">
        <f ca="1">CLIENTES[[#This Row],[Fecha Vencimiento]]-$J$6</f>
        <v>27</v>
      </c>
      <c r="N116" s="1" t="str">
        <f t="shared" ca="1" si="2"/>
        <v>Al dia</v>
      </c>
      <c r="O116" s="19">
        <v>45561</v>
      </c>
      <c r="P116" s="2"/>
      <c r="Q116" s="2">
        <f t="shared" si="3"/>
        <v>-45561</v>
      </c>
    </row>
    <row r="117" spans="3:17" x14ac:dyDescent="0.25">
      <c r="C117" s="13" t="s">
        <v>302</v>
      </c>
      <c r="D117" s="13" t="s">
        <v>309</v>
      </c>
      <c r="E117" s="10">
        <v>1128753233</v>
      </c>
      <c r="F117" t="s">
        <v>26</v>
      </c>
      <c r="G117" t="s">
        <v>310</v>
      </c>
      <c r="H117" s="14">
        <v>1</v>
      </c>
      <c r="I117" s="10" t="s">
        <v>28</v>
      </c>
      <c r="J117" s="1">
        <v>45574</v>
      </c>
      <c r="K117" s="1">
        <v>45605</v>
      </c>
      <c r="L117" s="25">
        <f ca="1">CLIENTES[[#This Row],[Fecha Vencimiento]]-$J$6</f>
        <v>10</v>
      </c>
      <c r="N117" s="1" t="str">
        <f t="shared" ca="1" si="2"/>
        <v>Al dia</v>
      </c>
      <c r="O117" s="19">
        <v>45574</v>
      </c>
      <c r="P117" s="2"/>
      <c r="Q117" s="2">
        <f t="shared" si="3"/>
        <v>-45574</v>
      </c>
    </row>
    <row r="118" spans="3:17" x14ac:dyDescent="0.25">
      <c r="C118" s="13" t="s">
        <v>311</v>
      </c>
      <c r="D118" s="13" t="s">
        <v>312</v>
      </c>
      <c r="E118" s="10" t="s">
        <v>3109</v>
      </c>
      <c r="F118" t="s">
        <v>26</v>
      </c>
      <c r="G118" t="s">
        <v>313</v>
      </c>
      <c r="H118" s="14">
        <v>4</v>
      </c>
      <c r="I118" s="10" t="s">
        <v>28</v>
      </c>
      <c r="J118" s="1">
        <v>45541</v>
      </c>
      <c r="K118" s="1">
        <v>45568</v>
      </c>
      <c r="L118" s="25">
        <f ca="1">CLIENTES[[#This Row],[Fecha Vencimiento]]-$J$6</f>
        <v>-27</v>
      </c>
      <c r="N118" s="1" t="str">
        <f t="shared" ca="1" si="2"/>
        <v>Vencido</v>
      </c>
      <c r="O118" s="19"/>
      <c r="P118" s="2"/>
      <c r="Q118" s="2">
        <f t="shared" si="3"/>
        <v>0</v>
      </c>
    </row>
    <row r="119" spans="3:17" x14ac:dyDescent="0.25">
      <c r="C119" s="13" t="s">
        <v>311</v>
      </c>
      <c r="D119" s="13" t="s">
        <v>314</v>
      </c>
      <c r="E119" s="10">
        <v>1159358394</v>
      </c>
      <c r="F119" t="s">
        <v>26</v>
      </c>
      <c r="G119" t="s">
        <v>315</v>
      </c>
      <c r="H119" s="14">
        <v>7</v>
      </c>
      <c r="I119" s="10" t="s">
        <v>28</v>
      </c>
      <c r="J119" s="1">
        <v>45576</v>
      </c>
      <c r="K119" s="1">
        <v>45606</v>
      </c>
      <c r="L119" s="25">
        <f ca="1">CLIENTES[[#This Row],[Fecha Vencimiento]]-$J$6</f>
        <v>11</v>
      </c>
      <c r="N119" s="1" t="str">
        <f t="shared" ca="1" si="2"/>
        <v>Al dia</v>
      </c>
      <c r="O119" s="19"/>
      <c r="P119" s="2"/>
      <c r="Q119" s="2">
        <f t="shared" si="3"/>
        <v>0</v>
      </c>
    </row>
    <row r="120" spans="3:17" x14ac:dyDescent="0.25">
      <c r="C120" s="13" t="s">
        <v>311</v>
      </c>
      <c r="D120" s="13" t="s">
        <v>316</v>
      </c>
      <c r="E120" s="10">
        <v>2215672478</v>
      </c>
      <c r="F120" t="s">
        <v>26</v>
      </c>
      <c r="G120" t="s">
        <v>317</v>
      </c>
      <c r="H120" s="14">
        <v>1</v>
      </c>
      <c r="I120" s="10" t="s">
        <v>28</v>
      </c>
      <c r="J120" s="1">
        <v>45554</v>
      </c>
      <c r="K120" s="1">
        <v>45584</v>
      </c>
      <c r="L120" s="25">
        <f ca="1">CLIENTES[[#This Row],[Fecha Vencimiento]]-$J$6</f>
        <v>-11</v>
      </c>
      <c r="N120" s="1" t="str">
        <f t="shared" ca="1" si="2"/>
        <v>Vencido</v>
      </c>
      <c r="O120" s="19">
        <v>45554</v>
      </c>
      <c r="P120" s="2"/>
      <c r="Q120" s="2">
        <f t="shared" si="3"/>
        <v>-45554</v>
      </c>
    </row>
    <row r="121" spans="3:17" x14ac:dyDescent="0.25">
      <c r="C121" s="13" t="s">
        <v>318</v>
      </c>
      <c r="D121" s="13" t="s">
        <v>319</v>
      </c>
      <c r="E121" s="10">
        <v>1139519143</v>
      </c>
      <c r="F121" t="s">
        <v>35</v>
      </c>
      <c r="G121" t="s">
        <v>320</v>
      </c>
      <c r="I121" s="10" t="s">
        <v>28</v>
      </c>
      <c r="J121" s="1">
        <v>45513</v>
      </c>
      <c r="K121" s="1">
        <v>45544</v>
      </c>
      <c r="L121" s="25">
        <f ca="1">CLIENTES[[#This Row],[Fecha Vencimiento]]-$J$6</f>
        <v>-51</v>
      </c>
      <c r="N121" s="1" t="str">
        <f t="shared" ca="1" si="2"/>
        <v>Vencido</v>
      </c>
      <c r="O121" s="19"/>
      <c r="P121" s="2"/>
      <c r="Q121" s="2">
        <f t="shared" si="3"/>
        <v>0</v>
      </c>
    </row>
    <row r="122" spans="3:17" x14ac:dyDescent="0.25">
      <c r="C122" s="13" t="s">
        <v>321</v>
      </c>
      <c r="D122" s="13" t="s">
        <v>322</v>
      </c>
      <c r="F122" t="s">
        <v>26</v>
      </c>
      <c r="G122" t="s">
        <v>323</v>
      </c>
      <c r="I122" s="10" t="s">
        <v>28</v>
      </c>
      <c r="J122" s="1">
        <v>45446</v>
      </c>
      <c r="K122" s="1">
        <v>45475</v>
      </c>
      <c r="L122" s="25">
        <f ca="1">CLIENTES[[#This Row],[Fecha Vencimiento]]-$J$6</f>
        <v>-120</v>
      </c>
      <c r="N122" s="1" t="str">
        <f t="shared" ca="1" si="2"/>
        <v>Vencido</v>
      </c>
      <c r="O122" s="19"/>
      <c r="P122" s="2"/>
      <c r="Q122" s="2">
        <f t="shared" si="3"/>
        <v>0</v>
      </c>
    </row>
    <row r="123" spans="3:17" x14ac:dyDescent="0.25">
      <c r="C123" s="13" t="s">
        <v>324</v>
      </c>
      <c r="D123" s="13" t="s">
        <v>325</v>
      </c>
      <c r="E123" s="10">
        <v>1166909598</v>
      </c>
      <c r="F123" t="s">
        <v>35</v>
      </c>
      <c r="G123" t="s">
        <v>326</v>
      </c>
      <c r="H123" s="14">
        <v>6</v>
      </c>
      <c r="I123" s="10" t="s">
        <v>28</v>
      </c>
      <c r="J123" s="1">
        <v>45587</v>
      </c>
      <c r="K123" s="1">
        <v>45616</v>
      </c>
      <c r="L123" s="25">
        <f ca="1">CLIENTES[[#This Row],[Fecha Vencimiento]]-$J$6</f>
        <v>21</v>
      </c>
      <c r="N123" s="1" t="str">
        <f t="shared" ca="1" si="2"/>
        <v>Al dia</v>
      </c>
      <c r="O123" s="19"/>
      <c r="P123" s="2"/>
      <c r="Q123" s="2">
        <f t="shared" si="3"/>
        <v>0</v>
      </c>
    </row>
    <row r="124" spans="3:17" x14ac:dyDescent="0.25">
      <c r="C124" s="13" t="s">
        <v>324</v>
      </c>
      <c r="D124" s="13" t="s">
        <v>327</v>
      </c>
      <c r="E124" s="10">
        <v>1167311195</v>
      </c>
      <c r="F124" t="s">
        <v>35</v>
      </c>
      <c r="G124" t="s">
        <v>328</v>
      </c>
      <c r="H124" s="14">
        <v>7</v>
      </c>
      <c r="I124" s="10" t="s">
        <v>28</v>
      </c>
      <c r="J124" s="1">
        <v>45583</v>
      </c>
      <c r="K124" s="1">
        <v>45615</v>
      </c>
      <c r="L124" s="25">
        <f ca="1">CLIENTES[[#This Row],[Fecha Vencimiento]]-$J$6</f>
        <v>20</v>
      </c>
      <c r="N124" s="1" t="str">
        <f t="shared" ca="1" si="2"/>
        <v>Al dia</v>
      </c>
      <c r="O124" s="19"/>
      <c r="P124" s="2"/>
      <c r="Q124" s="2">
        <f t="shared" si="3"/>
        <v>0</v>
      </c>
    </row>
    <row r="125" spans="3:17" x14ac:dyDescent="0.25">
      <c r="C125" s="13" t="s">
        <v>324</v>
      </c>
      <c r="D125" s="13" t="s">
        <v>329</v>
      </c>
      <c r="E125" s="10">
        <v>1158221111</v>
      </c>
      <c r="F125" t="s">
        <v>35</v>
      </c>
      <c r="G125" t="s">
        <v>330</v>
      </c>
      <c r="H125" s="14">
        <v>1</v>
      </c>
      <c r="I125" s="10" t="s">
        <v>28</v>
      </c>
      <c r="J125" s="1">
        <v>45571</v>
      </c>
      <c r="K125" s="1">
        <v>45602</v>
      </c>
      <c r="L125" s="25">
        <f ca="1">CLIENTES[[#This Row],[Fecha Vencimiento]]-$J$6</f>
        <v>7</v>
      </c>
      <c r="N125" s="1" t="str">
        <f t="shared" ca="1" si="2"/>
        <v>Al dia</v>
      </c>
      <c r="O125" s="19">
        <v>45602</v>
      </c>
      <c r="P125" s="2"/>
      <c r="Q125" s="2">
        <f t="shared" si="3"/>
        <v>-45602</v>
      </c>
    </row>
    <row r="126" spans="3:17" x14ac:dyDescent="0.25">
      <c r="C126" s="13" t="s">
        <v>331</v>
      </c>
      <c r="D126" s="13" t="s">
        <v>332</v>
      </c>
      <c r="E126" s="10">
        <v>1166915516</v>
      </c>
      <c r="F126" t="s">
        <v>35</v>
      </c>
      <c r="G126" t="s">
        <v>333</v>
      </c>
      <c r="H126" s="14">
        <v>3</v>
      </c>
      <c r="I126" s="10" t="s">
        <v>28</v>
      </c>
      <c r="J126" s="1">
        <v>45573</v>
      </c>
      <c r="K126" s="1">
        <v>45604</v>
      </c>
      <c r="L126" s="25">
        <f ca="1">CLIENTES[[#This Row],[Fecha Vencimiento]]-$J$6</f>
        <v>9</v>
      </c>
      <c r="N126" s="1" t="str">
        <f t="shared" ca="1" si="2"/>
        <v>Al dia</v>
      </c>
      <c r="O126" s="19"/>
      <c r="P126" s="2"/>
      <c r="Q126" s="2">
        <f t="shared" si="3"/>
        <v>0</v>
      </c>
    </row>
    <row r="127" spans="3:17" x14ac:dyDescent="0.25">
      <c r="C127" s="13" t="s">
        <v>334</v>
      </c>
      <c r="D127" s="13" t="s">
        <v>335</v>
      </c>
      <c r="E127" s="10">
        <v>1125024447</v>
      </c>
      <c r="F127" t="s">
        <v>35</v>
      </c>
      <c r="G127" t="s">
        <v>336</v>
      </c>
      <c r="H127" s="14">
        <v>5</v>
      </c>
      <c r="I127" s="10" t="s">
        <v>28</v>
      </c>
      <c r="J127" s="1">
        <v>45590</v>
      </c>
      <c r="K127" s="1">
        <v>45610</v>
      </c>
      <c r="L127" s="25">
        <f ca="1">CLIENTES[[#This Row],[Fecha Vencimiento]]-$J$6</f>
        <v>15</v>
      </c>
      <c r="N127" s="1" t="str">
        <f t="shared" ca="1" si="2"/>
        <v>Al dia</v>
      </c>
      <c r="O127" s="19"/>
      <c r="P127" s="2"/>
      <c r="Q127" s="2">
        <f t="shared" si="3"/>
        <v>0</v>
      </c>
    </row>
    <row r="128" spans="3:17" x14ac:dyDescent="0.25">
      <c r="C128" s="13" t="s">
        <v>334</v>
      </c>
      <c r="D128" s="13" t="s">
        <v>335</v>
      </c>
      <c r="E128" s="10" t="s">
        <v>2931</v>
      </c>
      <c r="F128" t="s">
        <v>35</v>
      </c>
      <c r="G128" t="s">
        <v>337</v>
      </c>
      <c r="H128" s="14">
        <v>7</v>
      </c>
      <c r="I128" s="10" t="s">
        <v>28</v>
      </c>
      <c r="J128" s="1">
        <v>45530</v>
      </c>
      <c r="K128" s="1">
        <v>45563</v>
      </c>
      <c r="L128" s="25">
        <f ca="1">CLIENTES[[#This Row],[Fecha Vencimiento]]-$J$6</f>
        <v>-32</v>
      </c>
      <c r="N128" s="1" t="str">
        <f t="shared" ca="1" si="2"/>
        <v>Vencido</v>
      </c>
      <c r="O128" s="19"/>
      <c r="P128" s="2"/>
      <c r="Q128" s="2">
        <f t="shared" si="3"/>
        <v>0</v>
      </c>
    </row>
    <row r="129" spans="3:17" x14ac:dyDescent="0.25">
      <c r="C129" s="13" t="s">
        <v>338</v>
      </c>
      <c r="D129" s="13" t="s">
        <v>339</v>
      </c>
      <c r="E129" s="10">
        <v>1123353106</v>
      </c>
      <c r="F129" t="s">
        <v>35</v>
      </c>
      <c r="G129" t="s">
        <v>340</v>
      </c>
      <c r="I129" s="10" t="s">
        <v>28</v>
      </c>
      <c r="J129" s="1">
        <v>45519</v>
      </c>
      <c r="K129" s="1">
        <v>45545</v>
      </c>
      <c r="L129" s="25">
        <f ca="1">CLIENTES[[#This Row],[Fecha Vencimiento]]-$J$6</f>
        <v>-50</v>
      </c>
      <c r="N129" s="1" t="str">
        <f t="shared" ca="1" si="2"/>
        <v>Vencido</v>
      </c>
      <c r="O129" s="19"/>
      <c r="P129" s="2"/>
      <c r="Q129" s="2">
        <f t="shared" si="3"/>
        <v>0</v>
      </c>
    </row>
    <row r="130" spans="3:17" x14ac:dyDescent="0.25">
      <c r="C130" s="13" t="s">
        <v>341</v>
      </c>
      <c r="D130" s="13" t="s">
        <v>342</v>
      </c>
      <c r="F130" t="s">
        <v>35</v>
      </c>
      <c r="G130" t="s">
        <v>343</v>
      </c>
      <c r="I130" s="10" t="s">
        <v>28</v>
      </c>
      <c r="J130" s="1">
        <v>45478</v>
      </c>
      <c r="K130" s="1">
        <v>45501</v>
      </c>
      <c r="L130" s="25">
        <f ca="1">CLIENTES[[#This Row],[Fecha Vencimiento]]-$J$6</f>
        <v>-94</v>
      </c>
      <c r="N130" s="1" t="str">
        <f t="shared" ca="1" si="2"/>
        <v>Vencido</v>
      </c>
      <c r="O130" s="19"/>
      <c r="P130" s="2"/>
      <c r="Q130" s="2">
        <f t="shared" si="3"/>
        <v>0</v>
      </c>
    </row>
    <row r="131" spans="3:17" x14ac:dyDescent="0.25">
      <c r="C131" s="13" t="s">
        <v>344</v>
      </c>
      <c r="D131" s="13" t="s">
        <v>345</v>
      </c>
      <c r="E131" s="10">
        <v>1158917593</v>
      </c>
      <c r="F131" t="s">
        <v>26</v>
      </c>
      <c r="G131" t="s">
        <v>346</v>
      </c>
      <c r="H131" s="14">
        <v>2</v>
      </c>
      <c r="I131" s="10" t="s">
        <v>28</v>
      </c>
      <c r="J131" s="1">
        <v>45590</v>
      </c>
      <c r="K131" s="1">
        <v>45609</v>
      </c>
      <c r="L131" s="25">
        <f ca="1">CLIENTES[[#This Row],[Fecha Vencimiento]]-$J$6</f>
        <v>14</v>
      </c>
      <c r="N131" s="1" t="str">
        <f t="shared" ca="1" si="2"/>
        <v>Al dia</v>
      </c>
      <c r="O131" s="19">
        <v>45547</v>
      </c>
      <c r="P131" s="2"/>
      <c r="Q131" s="2">
        <f t="shared" si="3"/>
        <v>-45547</v>
      </c>
    </row>
    <row r="132" spans="3:17" x14ac:dyDescent="0.25">
      <c r="C132" s="13" t="s">
        <v>347</v>
      </c>
      <c r="D132" s="13" t="s">
        <v>348</v>
      </c>
      <c r="E132" s="10">
        <v>1136683747</v>
      </c>
      <c r="F132" t="s">
        <v>35</v>
      </c>
      <c r="G132" t="s">
        <v>349</v>
      </c>
      <c r="H132" s="14">
        <v>3</v>
      </c>
      <c r="I132" s="10" t="s">
        <v>28</v>
      </c>
      <c r="J132" s="1">
        <v>45593</v>
      </c>
      <c r="K132" s="1">
        <v>45610</v>
      </c>
      <c r="L132" s="25">
        <f ca="1">CLIENTES[[#This Row],[Fecha Vencimiento]]-$J$6</f>
        <v>15</v>
      </c>
      <c r="N132" s="1" t="str">
        <f t="shared" ca="1" si="2"/>
        <v>Al dia</v>
      </c>
      <c r="O132" s="19"/>
      <c r="P132" s="2"/>
      <c r="Q132" s="2">
        <f t="shared" si="3"/>
        <v>0</v>
      </c>
    </row>
    <row r="133" spans="3:17" x14ac:dyDescent="0.25">
      <c r="C133" s="13" t="s">
        <v>350</v>
      </c>
      <c r="D133" s="13" t="s">
        <v>351</v>
      </c>
      <c r="F133" t="s">
        <v>26</v>
      </c>
      <c r="G133" t="s">
        <v>352</v>
      </c>
      <c r="H133" s="14">
        <v>1</v>
      </c>
      <c r="I133" s="10" t="s">
        <v>28</v>
      </c>
      <c r="J133" s="1">
        <v>45569</v>
      </c>
      <c r="K133" s="1">
        <v>45600</v>
      </c>
      <c r="L133" s="25">
        <f ca="1">CLIENTES[[#This Row],[Fecha Vencimiento]]-$J$6</f>
        <v>5</v>
      </c>
      <c r="N133" s="1" t="str">
        <f t="shared" ca="1" si="2"/>
        <v>Al dia</v>
      </c>
      <c r="O133" s="19">
        <v>45569</v>
      </c>
      <c r="P133" s="2"/>
      <c r="Q133" s="2">
        <f t="shared" si="3"/>
        <v>-45569</v>
      </c>
    </row>
    <row r="134" spans="3:17" x14ac:dyDescent="0.25">
      <c r="C134" s="13" t="s">
        <v>353</v>
      </c>
      <c r="D134" s="13" t="s">
        <v>354</v>
      </c>
      <c r="E134" s="10">
        <v>1135730062</v>
      </c>
      <c r="F134" t="s">
        <v>35</v>
      </c>
      <c r="G134" t="s">
        <v>355</v>
      </c>
      <c r="H134" s="14">
        <v>6</v>
      </c>
      <c r="I134" s="10" t="s">
        <v>28</v>
      </c>
      <c r="J134" s="1">
        <v>45563</v>
      </c>
      <c r="K134" s="1">
        <v>45589</v>
      </c>
      <c r="L134" s="25">
        <f ca="1">CLIENTES[[#This Row],[Fecha Vencimiento]]-$J$6</f>
        <v>-6</v>
      </c>
      <c r="N134" s="1" t="str">
        <f t="shared" ca="1" si="2"/>
        <v>Vencido</v>
      </c>
      <c r="O134" s="19"/>
      <c r="P134" s="2"/>
      <c r="Q134" s="2">
        <f t="shared" si="3"/>
        <v>0</v>
      </c>
    </row>
    <row r="135" spans="3:17" x14ac:dyDescent="0.25">
      <c r="C135" s="13" t="s">
        <v>356</v>
      </c>
      <c r="D135" s="13" t="s">
        <v>357</v>
      </c>
      <c r="E135" s="10">
        <v>1134735446</v>
      </c>
      <c r="F135" t="s">
        <v>35</v>
      </c>
      <c r="G135" t="s">
        <v>358</v>
      </c>
      <c r="H135" s="14">
        <v>3</v>
      </c>
      <c r="I135" s="10" t="s">
        <v>28</v>
      </c>
      <c r="J135" s="1">
        <v>45569</v>
      </c>
      <c r="K135" s="1">
        <v>45600</v>
      </c>
      <c r="L135" s="25">
        <f ca="1">CLIENTES[[#This Row],[Fecha Vencimiento]]-$J$6</f>
        <v>5</v>
      </c>
      <c r="N135" s="1" t="str">
        <f t="shared" ca="1" si="2"/>
        <v>Al dia</v>
      </c>
      <c r="O135" s="19"/>
      <c r="P135" s="2"/>
      <c r="Q135" s="2">
        <f t="shared" si="3"/>
        <v>0</v>
      </c>
    </row>
    <row r="136" spans="3:17" ht="30" x14ac:dyDescent="0.25">
      <c r="C136" s="33" t="s">
        <v>356</v>
      </c>
      <c r="D136" s="13" t="s">
        <v>359</v>
      </c>
      <c r="E136" s="10">
        <v>1134735446</v>
      </c>
      <c r="F136" t="s">
        <v>35</v>
      </c>
      <c r="G136" t="s">
        <v>360</v>
      </c>
      <c r="H136" s="14">
        <v>6</v>
      </c>
      <c r="I136" s="10" t="s">
        <v>28</v>
      </c>
      <c r="J136" s="1">
        <v>45573</v>
      </c>
      <c r="K136" s="1">
        <v>45598</v>
      </c>
      <c r="L136" s="25">
        <f ca="1">CLIENTES[[#This Row],[Fecha Vencimiento]]-$J$6</f>
        <v>3</v>
      </c>
      <c r="N136" s="1" t="str">
        <f t="shared" ref="N136:N199" ca="1" si="4">IF(L136&lt;0,"Vencido",IF(L136=0,"Vence hoy",IF(L136&lt;4,"Por vencer","Al dia")))</f>
        <v>Por vencer</v>
      </c>
      <c r="O136" s="19"/>
      <c r="P136" s="2"/>
      <c r="Q136" s="2">
        <f t="shared" ref="Q136:Q199" si="5">P136-O136</f>
        <v>0</v>
      </c>
    </row>
    <row r="137" spans="3:17" x14ac:dyDescent="0.25">
      <c r="C137" s="13" t="s">
        <v>361</v>
      </c>
      <c r="D137" s="13" t="s">
        <v>362</v>
      </c>
      <c r="E137" s="10">
        <v>1123575328</v>
      </c>
      <c r="F137" t="s">
        <v>35</v>
      </c>
      <c r="G137" t="s">
        <v>363</v>
      </c>
      <c r="I137" s="10" t="s">
        <v>28</v>
      </c>
      <c r="J137" s="1">
        <v>45507</v>
      </c>
      <c r="K137" s="1">
        <v>45538</v>
      </c>
      <c r="L137" s="25">
        <f ca="1">CLIENTES[[#This Row],[Fecha Vencimiento]]-$J$6</f>
        <v>-57</v>
      </c>
      <c r="N137" s="1" t="str">
        <f t="shared" ca="1" si="4"/>
        <v>Vencido</v>
      </c>
      <c r="O137" s="19"/>
      <c r="P137" s="2"/>
      <c r="Q137" s="2">
        <f t="shared" si="5"/>
        <v>0</v>
      </c>
    </row>
    <row r="138" spans="3:17" x14ac:dyDescent="0.25">
      <c r="C138" s="13" t="s">
        <v>364</v>
      </c>
      <c r="D138" s="13" t="s">
        <v>365</v>
      </c>
      <c r="F138" t="s">
        <v>35</v>
      </c>
      <c r="G138" t="s">
        <v>366</v>
      </c>
      <c r="I138" s="10" t="s">
        <v>28</v>
      </c>
      <c r="J138" s="1">
        <v>45484</v>
      </c>
      <c r="K138" s="1">
        <v>45515</v>
      </c>
      <c r="L138" s="25">
        <f ca="1">CLIENTES[[#This Row],[Fecha Vencimiento]]-$J$6</f>
        <v>-80</v>
      </c>
      <c r="N138" s="1" t="str">
        <f t="shared" ca="1" si="4"/>
        <v>Vencido</v>
      </c>
      <c r="O138" s="19"/>
      <c r="P138" s="2"/>
      <c r="Q138" s="2">
        <f t="shared" si="5"/>
        <v>0</v>
      </c>
    </row>
    <row r="139" spans="3:17" x14ac:dyDescent="0.25">
      <c r="C139" t="s">
        <v>367</v>
      </c>
      <c r="D139" t="s">
        <v>368</v>
      </c>
      <c r="E139" s="10">
        <v>1139448265</v>
      </c>
      <c r="F139" t="s">
        <v>367</v>
      </c>
      <c r="G139" t="s">
        <v>369</v>
      </c>
      <c r="H139" s="14">
        <v>2</v>
      </c>
      <c r="I139" s="10" t="s">
        <v>28</v>
      </c>
      <c r="J139" s="1">
        <v>45565</v>
      </c>
      <c r="K139" s="1">
        <v>45595</v>
      </c>
      <c r="L139" s="25">
        <f ca="1">CLIENTES[[#This Row],[Fecha Vencimiento]]-$J$6</f>
        <v>0</v>
      </c>
      <c r="N139" s="1" t="str">
        <f t="shared" ca="1" si="4"/>
        <v>Vence hoy</v>
      </c>
      <c r="O139" s="19">
        <v>45534</v>
      </c>
      <c r="P139" s="2"/>
      <c r="Q139" s="2">
        <f t="shared" si="5"/>
        <v>-45534</v>
      </c>
    </row>
    <row r="140" spans="3:17" x14ac:dyDescent="0.25">
      <c r="C140" s="13" t="s">
        <v>370</v>
      </c>
      <c r="D140" s="13" t="s">
        <v>371</v>
      </c>
      <c r="F140" t="s">
        <v>35</v>
      </c>
      <c r="G140" t="s">
        <v>372</v>
      </c>
      <c r="H140" s="14">
        <v>6</v>
      </c>
      <c r="I140" s="10" t="s">
        <v>28</v>
      </c>
      <c r="J140" s="1">
        <v>45573</v>
      </c>
      <c r="K140" s="1">
        <v>45620</v>
      </c>
      <c r="L140" s="25">
        <f ca="1">CLIENTES[[#This Row],[Fecha Vencimiento]]-$J$6</f>
        <v>25</v>
      </c>
      <c r="N140" s="1" t="str">
        <f t="shared" ca="1" si="4"/>
        <v>Al dia</v>
      </c>
      <c r="O140" s="19"/>
      <c r="P140" s="2"/>
      <c r="Q140" s="2">
        <f t="shared" si="5"/>
        <v>0</v>
      </c>
    </row>
    <row r="141" spans="3:17" x14ac:dyDescent="0.25">
      <c r="C141" s="13" t="s">
        <v>373</v>
      </c>
      <c r="D141" s="13" t="s">
        <v>374</v>
      </c>
      <c r="E141" s="10" t="s">
        <v>2931</v>
      </c>
      <c r="F141" t="s">
        <v>35</v>
      </c>
      <c r="G141" t="s">
        <v>375</v>
      </c>
      <c r="H141" s="14">
        <v>1</v>
      </c>
      <c r="I141" s="10" t="s">
        <v>28</v>
      </c>
      <c r="J141" s="1">
        <v>45558</v>
      </c>
      <c r="K141" s="1">
        <v>45588</v>
      </c>
      <c r="L141" s="25">
        <f ca="1">CLIENTES[[#This Row],[Fecha Vencimiento]]-$J$6</f>
        <v>-7</v>
      </c>
      <c r="N141" s="1" t="str">
        <f t="shared" ca="1" si="4"/>
        <v>Vencido</v>
      </c>
      <c r="O141" s="19">
        <v>45558</v>
      </c>
      <c r="P141" s="2"/>
      <c r="Q141" s="2">
        <f t="shared" si="5"/>
        <v>-45558</v>
      </c>
    </row>
    <row r="142" spans="3:17" x14ac:dyDescent="0.25">
      <c r="C142" s="13" t="s">
        <v>376</v>
      </c>
      <c r="D142" s="13" t="s">
        <v>377</v>
      </c>
      <c r="E142" s="10">
        <v>1158580171</v>
      </c>
      <c r="F142" t="s">
        <v>35</v>
      </c>
      <c r="G142" t="s">
        <v>378</v>
      </c>
      <c r="H142" s="14">
        <v>6</v>
      </c>
      <c r="I142" s="10" t="s">
        <v>28</v>
      </c>
      <c r="J142" s="1">
        <v>45589</v>
      </c>
      <c r="K142" s="1">
        <v>45620</v>
      </c>
      <c r="L142" s="25">
        <f ca="1">CLIENTES[[#This Row],[Fecha Vencimiento]]-$J$6</f>
        <v>25</v>
      </c>
      <c r="N142" s="1" t="str">
        <f t="shared" ca="1" si="4"/>
        <v>Al dia</v>
      </c>
      <c r="O142" s="19"/>
      <c r="P142" s="2"/>
      <c r="Q142" s="2">
        <f t="shared" si="5"/>
        <v>0</v>
      </c>
    </row>
    <row r="143" spans="3:17" x14ac:dyDescent="0.25">
      <c r="C143" s="13" t="s">
        <v>379</v>
      </c>
      <c r="D143" s="13" t="s">
        <v>380</v>
      </c>
      <c r="F143" t="s">
        <v>35</v>
      </c>
      <c r="G143" t="s">
        <v>381</v>
      </c>
      <c r="I143" s="10" t="s">
        <v>28</v>
      </c>
      <c r="J143" s="1">
        <v>45467</v>
      </c>
      <c r="K143" s="1">
        <v>45497</v>
      </c>
      <c r="L143" s="25">
        <f ca="1">CLIENTES[[#This Row],[Fecha Vencimiento]]-$J$6</f>
        <v>-98</v>
      </c>
      <c r="N143" s="1" t="str">
        <f t="shared" ca="1" si="4"/>
        <v>Vencido</v>
      </c>
      <c r="O143" s="19"/>
      <c r="P143" s="2"/>
      <c r="Q143" s="2">
        <f t="shared" si="5"/>
        <v>0</v>
      </c>
    </row>
    <row r="144" spans="3:17" x14ac:dyDescent="0.25">
      <c r="C144" s="13" t="s">
        <v>382</v>
      </c>
      <c r="D144" s="13" t="s">
        <v>383</v>
      </c>
      <c r="E144" s="10" t="s">
        <v>2931</v>
      </c>
      <c r="F144" t="s">
        <v>35</v>
      </c>
      <c r="G144" t="s">
        <v>384</v>
      </c>
      <c r="H144" s="14">
        <v>3</v>
      </c>
      <c r="I144" s="10" t="s">
        <v>28</v>
      </c>
      <c r="J144" s="1">
        <v>45595</v>
      </c>
      <c r="K144" s="1">
        <v>45623</v>
      </c>
      <c r="L144" s="25">
        <f ca="1">CLIENTES[[#This Row],[Fecha Vencimiento]]-$J$6</f>
        <v>28</v>
      </c>
      <c r="N144" s="1" t="str">
        <f t="shared" ca="1" si="4"/>
        <v>Al dia</v>
      </c>
      <c r="O144" s="19">
        <v>45531</v>
      </c>
      <c r="P144" s="2"/>
      <c r="Q144" s="2">
        <f t="shared" si="5"/>
        <v>-45531</v>
      </c>
    </row>
    <row r="145" spans="3:17" x14ac:dyDescent="0.25">
      <c r="C145" s="13" t="s">
        <v>382</v>
      </c>
      <c r="D145" s="13" t="s">
        <v>385</v>
      </c>
      <c r="F145" t="s">
        <v>35</v>
      </c>
      <c r="G145" t="s">
        <v>386</v>
      </c>
      <c r="I145" s="10" t="s">
        <v>28</v>
      </c>
      <c r="J145" s="1">
        <v>45456</v>
      </c>
      <c r="K145" s="1">
        <v>45486</v>
      </c>
      <c r="L145" s="25">
        <f ca="1">CLIENTES[[#This Row],[Fecha Vencimiento]]-$J$6</f>
        <v>-109</v>
      </c>
      <c r="N145" s="1" t="str">
        <f t="shared" ca="1" si="4"/>
        <v>Vencido</v>
      </c>
      <c r="O145" s="19"/>
      <c r="P145" s="2"/>
      <c r="Q145" s="2">
        <f t="shared" si="5"/>
        <v>0</v>
      </c>
    </row>
    <row r="146" spans="3:17" x14ac:dyDescent="0.25">
      <c r="C146" s="13" t="s">
        <v>382</v>
      </c>
      <c r="D146" s="13" t="s">
        <v>387</v>
      </c>
      <c r="E146" s="10">
        <v>1168957422</v>
      </c>
      <c r="F146" t="s">
        <v>35</v>
      </c>
      <c r="G146" t="s">
        <v>388</v>
      </c>
      <c r="H146" s="14">
        <v>6</v>
      </c>
      <c r="I146" s="10" t="s">
        <v>28</v>
      </c>
      <c r="J146" s="1">
        <v>45570</v>
      </c>
      <c r="K146" s="1">
        <v>45602</v>
      </c>
      <c r="L146" s="25">
        <f ca="1">CLIENTES[[#This Row],[Fecha Vencimiento]]-$J$6</f>
        <v>7</v>
      </c>
      <c r="N146" s="1" t="str">
        <f t="shared" ca="1" si="4"/>
        <v>Al dia</v>
      </c>
      <c r="O146" s="19"/>
      <c r="P146" s="2"/>
      <c r="Q146" s="2">
        <f t="shared" si="5"/>
        <v>0</v>
      </c>
    </row>
    <row r="147" spans="3:17" x14ac:dyDescent="0.25">
      <c r="C147" s="13" t="s">
        <v>389</v>
      </c>
      <c r="D147" s="13" t="s">
        <v>390</v>
      </c>
      <c r="F147" t="s">
        <v>35</v>
      </c>
      <c r="G147" t="s">
        <v>391</v>
      </c>
      <c r="I147" s="10" t="s">
        <v>28</v>
      </c>
      <c r="J147" s="1">
        <v>45499</v>
      </c>
      <c r="K147" s="1">
        <v>45529</v>
      </c>
      <c r="L147" s="25">
        <f ca="1">CLIENTES[[#This Row],[Fecha Vencimiento]]-$J$6</f>
        <v>-66</v>
      </c>
      <c r="N147" s="1" t="str">
        <f t="shared" ca="1" si="4"/>
        <v>Vencido</v>
      </c>
      <c r="O147" s="19"/>
      <c r="P147" s="2"/>
      <c r="Q147" s="2">
        <f t="shared" si="5"/>
        <v>0</v>
      </c>
    </row>
    <row r="148" spans="3:17" x14ac:dyDescent="0.25">
      <c r="C148" s="13" t="s">
        <v>389</v>
      </c>
      <c r="D148" s="13" t="s">
        <v>392</v>
      </c>
      <c r="F148" t="s">
        <v>35</v>
      </c>
      <c r="G148" t="s">
        <v>393</v>
      </c>
      <c r="I148" s="10" t="s">
        <v>28</v>
      </c>
      <c r="J148" s="1">
        <v>45453</v>
      </c>
      <c r="K148" s="1">
        <v>45481</v>
      </c>
      <c r="L148" s="25">
        <f ca="1">CLIENTES[[#This Row],[Fecha Vencimiento]]-$J$6</f>
        <v>-114</v>
      </c>
      <c r="N148" s="1" t="str">
        <f t="shared" ca="1" si="4"/>
        <v>Vencido</v>
      </c>
      <c r="O148" s="19"/>
      <c r="P148" s="2"/>
      <c r="Q148" s="2">
        <f t="shared" si="5"/>
        <v>0</v>
      </c>
    </row>
    <row r="149" spans="3:17" x14ac:dyDescent="0.25">
      <c r="C149" s="13" t="s">
        <v>394</v>
      </c>
      <c r="D149" s="13" t="s">
        <v>395</v>
      </c>
      <c r="F149" t="s">
        <v>35</v>
      </c>
      <c r="G149" t="s">
        <v>396</v>
      </c>
      <c r="H149" s="14">
        <v>1</v>
      </c>
      <c r="I149" s="10" t="s">
        <v>28</v>
      </c>
      <c r="J149" s="1">
        <v>45570</v>
      </c>
      <c r="K149" s="1">
        <v>45601</v>
      </c>
      <c r="L149" s="25">
        <f ca="1">CLIENTES[[#This Row],[Fecha Vencimiento]]-$J$6</f>
        <v>6</v>
      </c>
      <c r="N149" s="1" t="str">
        <f t="shared" ca="1" si="4"/>
        <v>Al dia</v>
      </c>
      <c r="O149" s="19">
        <v>45570</v>
      </c>
      <c r="P149" s="2"/>
      <c r="Q149" s="2">
        <f t="shared" si="5"/>
        <v>-45570</v>
      </c>
    </row>
    <row r="150" spans="3:17" x14ac:dyDescent="0.25">
      <c r="C150" s="13" t="s">
        <v>397</v>
      </c>
      <c r="D150" s="13" t="s">
        <v>398</v>
      </c>
      <c r="E150" s="10">
        <v>1150420952</v>
      </c>
      <c r="F150" t="s">
        <v>35</v>
      </c>
      <c r="G150" t="s">
        <v>399</v>
      </c>
      <c r="H150" s="14">
        <v>6</v>
      </c>
      <c r="I150" s="10" t="s">
        <v>28</v>
      </c>
      <c r="J150" s="1">
        <v>45580</v>
      </c>
      <c r="K150" s="1">
        <v>45614</v>
      </c>
      <c r="L150" s="25">
        <f ca="1">CLIENTES[[#This Row],[Fecha Vencimiento]]-$J$6</f>
        <v>19</v>
      </c>
      <c r="N150" s="1" t="str">
        <f t="shared" ca="1" si="4"/>
        <v>Al dia</v>
      </c>
      <c r="O150" s="19"/>
      <c r="P150" s="2"/>
      <c r="Q150" s="2">
        <f t="shared" si="5"/>
        <v>0</v>
      </c>
    </row>
    <row r="151" spans="3:17" x14ac:dyDescent="0.25">
      <c r="C151" s="13" t="s">
        <v>400</v>
      </c>
      <c r="D151" s="13" t="s">
        <v>401</v>
      </c>
      <c r="F151" t="s">
        <v>35</v>
      </c>
      <c r="G151" t="s">
        <v>402</v>
      </c>
      <c r="I151" s="10" t="s">
        <v>28</v>
      </c>
      <c r="J151" s="1">
        <v>45479</v>
      </c>
      <c r="K151" s="1">
        <v>45510</v>
      </c>
      <c r="L151" s="25">
        <f ca="1">CLIENTES[[#This Row],[Fecha Vencimiento]]-$J$6</f>
        <v>-85</v>
      </c>
      <c r="N151" s="1" t="str">
        <f t="shared" ca="1" si="4"/>
        <v>Vencido</v>
      </c>
      <c r="O151" s="19"/>
      <c r="P151" s="2"/>
      <c r="Q151" s="2">
        <f t="shared" si="5"/>
        <v>0</v>
      </c>
    </row>
    <row r="152" spans="3:17" x14ac:dyDescent="0.25">
      <c r="C152" s="13" t="s">
        <v>403</v>
      </c>
      <c r="D152" s="13" t="s">
        <v>404</v>
      </c>
      <c r="E152" s="10">
        <v>1163523286</v>
      </c>
      <c r="F152" t="s">
        <v>35</v>
      </c>
      <c r="G152" t="s">
        <v>405</v>
      </c>
      <c r="H152" s="14">
        <v>3</v>
      </c>
      <c r="I152" s="10" t="s">
        <v>28</v>
      </c>
      <c r="J152" s="1">
        <v>45528</v>
      </c>
      <c r="K152" s="1">
        <v>45559</v>
      </c>
      <c r="L152" s="25">
        <f ca="1">CLIENTES[[#This Row],[Fecha Vencimiento]]-$J$6</f>
        <v>-36</v>
      </c>
      <c r="N152" s="1" t="str">
        <f t="shared" ca="1" si="4"/>
        <v>Vencido</v>
      </c>
      <c r="O152" s="19"/>
      <c r="P152" s="2"/>
      <c r="Q152" s="2">
        <f t="shared" si="5"/>
        <v>0</v>
      </c>
    </row>
    <row r="153" spans="3:17" x14ac:dyDescent="0.25">
      <c r="C153" s="13" t="s">
        <v>403</v>
      </c>
      <c r="D153" s="13" t="s">
        <v>406</v>
      </c>
      <c r="E153" s="10">
        <v>1138131634</v>
      </c>
      <c r="F153" t="s">
        <v>35</v>
      </c>
      <c r="G153" t="s">
        <v>407</v>
      </c>
      <c r="H153" s="14">
        <v>3</v>
      </c>
      <c r="I153" s="10" t="s">
        <v>28</v>
      </c>
      <c r="J153" s="1">
        <v>45584</v>
      </c>
      <c r="K153" s="1">
        <v>45599</v>
      </c>
      <c r="L153" s="25">
        <f ca="1">CLIENTES[[#This Row],[Fecha Vencimiento]]-$J$6</f>
        <v>4</v>
      </c>
      <c r="N153" s="1" t="str">
        <f t="shared" ca="1" si="4"/>
        <v>Al dia</v>
      </c>
      <c r="O153" s="19"/>
      <c r="P153" s="2"/>
      <c r="Q153" s="2">
        <f t="shared" si="5"/>
        <v>0</v>
      </c>
    </row>
    <row r="154" spans="3:17" x14ac:dyDescent="0.25">
      <c r="C154" s="13" t="s">
        <v>408</v>
      </c>
      <c r="D154" s="13" t="s">
        <v>409</v>
      </c>
      <c r="F154" t="s">
        <v>35</v>
      </c>
      <c r="G154" t="s">
        <v>410</v>
      </c>
      <c r="I154" s="10" t="s">
        <v>28</v>
      </c>
      <c r="J154" s="1">
        <v>45478</v>
      </c>
      <c r="K154" s="1">
        <v>45510</v>
      </c>
      <c r="L154" s="25">
        <f ca="1">CLIENTES[[#This Row],[Fecha Vencimiento]]-$J$6</f>
        <v>-85</v>
      </c>
      <c r="N154" s="1" t="str">
        <f t="shared" ca="1" si="4"/>
        <v>Vencido</v>
      </c>
      <c r="O154" s="19"/>
      <c r="P154" s="2"/>
      <c r="Q154" s="2">
        <f t="shared" si="5"/>
        <v>0</v>
      </c>
    </row>
    <row r="155" spans="3:17" x14ac:dyDescent="0.25">
      <c r="C155" s="13" t="s">
        <v>411</v>
      </c>
      <c r="D155" s="13" t="s">
        <v>51</v>
      </c>
      <c r="E155" s="10">
        <v>1128312808</v>
      </c>
      <c r="F155" t="s">
        <v>35</v>
      </c>
      <c r="G155" t="s">
        <v>412</v>
      </c>
      <c r="H155" s="14">
        <v>1</v>
      </c>
      <c r="I155" s="10" t="s">
        <v>28</v>
      </c>
      <c r="J155" s="1">
        <v>45569</v>
      </c>
      <c r="K155" s="1">
        <v>45600</v>
      </c>
      <c r="L155" s="25">
        <f ca="1">CLIENTES[[#This Row],[Fecha Vencimiento]]-$J$6</f>
        <v>5</v>
      </c>
      <c r="N155" s="1" t="str">
        <f t="shared" ca="1" si="4"/>
        <v>Al dia</v>
      </c>
      <c r="O155" s="19">
        <v>45569</v>
      </c>
      <c r="P155" s="2"/>
      <c r="Q155" s="2">
        <f t="shared" si="5"/>
        <v>-45569</v>
      </c>
    </row>
    <row r="156" spans="3:17" x14ac:dyDescent="0.25">
      <c r="C156" s="13" t="s">
        <v>413</v>
      </c>
      <c r="D156" s="13" t="s">
        <v>414</v>
      </c>
      <c r="E156" s="10">
        <v>1150407346</v>
      </c>
      <c r="F156" t="s">
        <v>35</v>
      </c>
      <c r="G156" t="s">
        <v>415</v>
      </c>
      <c r="H156" s="14">
        <v>3</v>
      </c>
      <c r="I156" s="10" t="s">
        <v>28</v>
      </c>
      <c r="J156" s="1">
        <v>45572</v>
      </c>
      <c r="K156" s="1">
        <v>45616</v>
      </c>
      <c r="L156" s="25">
        <f ca="1">CLIENTES[[#This Row],[Fecha Vencimiento]]-$J$6</f>
        <v>21</v>
      </c>
      <c r="N156" s="1" t="str">
        <f t="shared" ca="1" si="4"/>
        <v>Al dia</v>
      </c>
      <c r="O156" s="19"/>
      <c r="P156" s="2"/>
      <c r="Q156" s="2">
        <f t="shared" si="5"/>
        <v>0</v>
      </c>
    </row>
    <row r="157" spans="3:17" x14ac:dyDescent="0.25">
      <c r="C157" s="13" t="s">
        <v>416</v>
      </c>
      <c r="D157" s="13" t="s">
        <v>417</v>
      </c>
      <c r="E157" s="10">
        <v>1166775405</v>
      </c>
      <c r="F157" t="s">
        <v>35</v>
      </c>
      <c r="G157" t="s">
        <v>418</v>
      </c>
      <c r="H157" s="14">
        <v>2</v>
      </c>
      <c r="I157" s="10" t="s">
        <v>28</v>
      </c>
      <c r="J157" s="1">
        <v>45548</v>
      </c>
      <c r="K157" s="1">
        <v>45581</v>
      </c>
      <c r="L157" s="25">
        <f ca="1">CLIENTES[[#This Row],[Fecha Vencimiento]]-$J$6</f>
        <v>-14</v>
      </c>
      <c r="N157" s="1" t="str">
        <f t="shared" ca="1" si="4"/>
        <v>Vencido</v>
      </c>
      <c r="O157" s="19"/>
      <c r="P157" s="2"/>
      <c r="Q157" s="2">
        <f t="shared" si="5"/>
        <v>0</v>
      </c>
    </row>
    <row r="158" spans="3:17" x14ac:dyDescent="0.25">
      <c r="C158" s="13" t="s">
        <v>416</v>
      </c>
      <c r="D158" s="13" t="s">
        <v>322</v>
      </c>
      <c r="E158" s="10" t="s">
        <v>3110</v>
      </c>
      <c r="F158" t="s">
        <v>35</v>
      </c>
      <c r="G158" t="s">
        <v>419</v>
      </c>
      <c r="H158" s="14">
        <v>5</v>
      </c>
      <c r="I158" s="10" t="s">
        <v>28</v>
      </c>
      <c r="J158" s="1">
        <v>45591</v>
      </c>
      <c r="K158" s="1">
        <v>45620</v>
      </c>
      <c r="L158" s="25">
        <f ca="1">CLIENTES[[#This Row],[Fecha Vencimiento]]-$J$6</f>
        <v>25</v>
      </c>
      <c r="N158" s="1" t="str">
        <f t="shared" ca="1" si="4"/>
        <v>Al dia</v>
      </c>
      <c r="O158" s="19"/>
      <c r="P158" s="2"/>
      <c r="Q158" s="2">
        <f t="shared" si="5"/>
        <v>0</v>
      </c>
    </row>
    <row r="159" spans="3:17" x14ac:dyDescent="0.25">
      <c r="C159" s="13" t="s">
        <v>420</v>
      </c>
      <c r="D159" s="13" t="s">
        <v>421</v>
      </c>
      <c r="E159" s="10">
        <v>1163523286</v>
      </c>
      <c r="F159" t="s">
        <v>35</v>
      </c>
      <c r="G159" t="s">
        <v>422</v>
      </c>
      <c r="H159" s="14">
        <v>1</v>
      </c>
      <c r="I159" s="10" t="s">
        <v>28</v>
      </c>
      <c r="J159" s="1">
        <v>45558</v>
      </c>
      <c r="K159" s="1">
        <v>45588</v>
      </c>
      <c r="L159" s="25">
        <f ca="1">CLIENTES[[#This Row],[Fecha Vencimiento]]-$J$6</f>
        <v>-7</v>
      </c>
      <c r="N159" s="1" t="str">
        <f t="shared" ca="1" si="4"/>
        <v>Vencido</v>
      </c>
      <c r="O159" s="19">
        <v>45558</v>
      </c>
      <c r="P159" s="2"/>
      <c r="Q159" s="2">
        <f t="shared" si="5"/>
        <v>-45558</v>
      </c>
    </row>
    <row r="160" spans="3:17" x14ac:dyDescent="0.25">
      <c r="C160" s="13" t="s">
        <v>423</v>
      </c>
      <c r="D160" s="13" t="s">
        <v>424</v>
      </c>
      <c r="E160" s="10">
        <v>1134264348</v>
      </c>
      <c r="F160" t="s">
        <v>35</v>
      </c>
      <c r="G160" t="s">
        <v>425</v>
      </c>
      <c r="H160" s="14">
        <v>2</v>
      </c>
      <c r="I160" s="10" t="s">
        <v>28</v>
      </c>
      <c r="J160" s="1">
        <v>45580</v>
      </c>
      <c r="K160" s="1">
        <v>45611</v>
      </c>
      <c r="L160" s="25">
        <f ca="1">CLIENTES[[#This Row],[Fecha Vencimiento]]-$J$6</f>
        <v>16</v>
      </c>
      <c r="N160" s="1" t="str">
        <f t="shared" ca="1" si="4"/>
        <v>Al dia</v>
      </c>
      <c r="O160" s="19"/>
      <c r="P160" s="2"/>
      <c r="Q160" s="2">
        <f t="shared" si="5"/>
        <v>0</v>
      </c>
    </row>
    <row r="161" spans="1:17" x14ac:dyDescent="0.25">
      <c r="C161" s="13" t="s">
        <v>423</v>
      </c>
      <c r="D161" s="13" t="s">
        <v>426</v>
      </c>
      <c r="F161" t="s">
        <v>35</v>
      </c>
      <c r="G161" t="s">
        <v>427</v>
      </c>
      <c r="H161" s="14">
        <v>6</v>
      </c>
      <c r="I161" s="10" t="s">
        <v>28</v>
      </c>
      <c r="J161" s="1">
        <v>45567</v>
      </c>
      <c r="K161" s="1">
        <v>45605</v>
      </c>
      <c r="L161" s="25">
        <f ca="1">CLIENTES[[#This Row],[Fecha Vencimiento]]-$J$6</f>
        <v>10</v>
      </c>
      <c r="N161" s="1" t="str">
        <f t="shared" ca="1" si="4"/>
        <v>Al dia</v>
      </c>
      <c r="O161" s="19"/>
      <c r="P161" s="2"/>
      <c r="Q161" s="2">
        <f t="shared" si="5"/>
        <v>0</v>
      </c>
    </row>
    <row r="162" spans="1:17" x14ac:dyDescent="0.25">
      <c r="C162" s="13" t="s">
        <v>423</v>
      </c>
      <c r="D162" s="13" t="s">
        <v>428</v>
      </c>
      <c r="E162" s="10" t="s">
        <v>2931</v>
      </c>
      <c r="F162" t="s">
        <v>35</v>
      </c>
      <c r="G162" t="s">
        <v>429</v>
      </c>
      <c r="H162" s="14">
        <v>3</v>
      </c>
      <c r="I162" s="10" t="s">
        <v>28</v>
      </c>
      <c r="J162" s="1">
        <v>45593</v>
      </c>
      <c r="K162" s="1">
        <v>45624</v>
      </c>
      <c r="L162" s="25">
        <f ca="1">CLIENTES[[#This Row],[Fecha Vencimiento]]-$J$6</f>
        <v>29</v>
      </c>
      <c r="N162" s="1" t="str">
        <f t="shared" ca="1" si="4"/>
        <v>Al dia</v>
      </c>
      <c r="O162" s="19"/>
      <c r="P162" s="2"/>
      <c r="Q162" s="2">
        <f t="shared" si="5"/>
        <v>0</v>
      </c>
    </row>
    <row r="163" spans="1:17" x14ac:dyDescent="0.25">
      <c r="A163" t="s">
        <v>430</v>
      </c>
      <c r="C163" s="13" t="s">
        <v>431</v>
      </c>
      <c r="D163" s="13" t="s">
        <v>432</v>
      </c>
      <c r="E163" s="10">
        <v>1124743889</v>
      </c>
      <c r="F163" t="s">
        <v>232</v>
      </c>
      <c r="G163" t="s">
        <v>433</v>
      </c>
      <c r="H163" s="14">
        <v>2</v>
      </c>
      <c r="I163" s="10" t="s">
        <v>183</v>
      </c>
      <c r="J163" s="1">
        <v>45581</v>
      </c>
      <c r="K163" s="1">
        <v>45606</v>
      </c>
      <c r="L163" s="25">
        <f ca="1">CLIENTES[[#This Row],[Fecha Vencimiento]]-$J$6</f>
        <v>11</v>
      </c>
      <c r="N163" s="1" t="str">
        <f t="shared" ca="1" si="4"/>
        <v>Al dia</v>
      </c>
      <c r="O163" s="19">
        <v>45538</v>
      </c>
      <c r="P163" s="2"/>
      <c r="Q163" s="2">
        <f t="shared" si="5"/>
        <v>-45538</v>
      </c>
    </row>
    <row r="164" spans="1:17" x14ac:dyDescent="0.25">
      <c r="C164" s="13" t="s">
        <v>431</v>
      </c>
      <c r="D164" s="13" t="s">
        <v>434</v>
      </c>
      <c r="E164" s="10">
        <v>1131460703</v>
      </c>
      <c r="F164" t="s">
        <v>35</v>
      </c>
      <c r="G164" t="s">
        <v>435</v>
      </c>
      <c r="H164" s="14">
        <v>5</v>
      </c>
      <c r="I164" s="10" t="s">
        <v>28</v>
      </c>
      <c r="J164" s="1">
        <v>45580</v>
      </c>
      <c r="K164" s="1">
        <v>45611</v>
      </c>
      <c r="L164" s="25">
        <f ca="1">CLIENTES[[#This Row],[Fecha Vencimiento]]-$J$6</f>
        <v>16</v>
      </c>
      <c r="N164" s="1" t="str">
        <f t="shared" ca="1" si="4"/>
        <v>Al dia</v>
      </c>
      <c r="O164" s="19"/>
      <c r="P164" s="2"/>
      <c r="Q164" s="2">
        <f t="shared" si="5"/>
        <v>0</v>
      </c>
    </row>
    <row r="165" spans="1:17" x14ac:dyDescent="0.25">
      <c r="C165" s="13" t="s">
        <v>431</v>
      </c>
      <c r="D165" s="13" t="s">
        <v>436</v>
      </c>
      <c r="F165" t="s">
        <v>26</v>
      </c>
      <c r="G165" t="s">
        <v>437</v>
      </c>
      <c r="H165" s="14">
        <v>2</v>
      </c>
      <c r="I165" s="10" t="s">
        <v>28</v>
      </c>
      <c r="J165" s="1">
        <v>45584</v>
      </c>
      <c r="K165" s="1">
        <v>45609</v>
      </c>
      <c r="L165" s="25">
        <f ca="1">CLIENTES[[#This Row],[Fecha Vencimiento]]-$J$6</f>
        <v>14</v>
      </c>
      <c r="N165" s="1" t="str">
        <f t="shared" ca="1" si="4"/>
        <v>Al dia</v>
      </c>
      <c r="O165" s="19">
        <v>45548</v>
      </c>
      <c r="P165" s="2"/>
      <c r="Q165" s="2">
        <f t="shared" si="5"/>
        <v>-45548</v>
      </c>
    </row>
    <row r="166" spans="1:17" x14ac:dyDescent="0.25">
      <c r="C166" t="s">
        <v>431</v>
      </c>
      <c r="D166" t="s">
        <v>438</v>
      </c>
      <c r="E166" s="10">
        <v>1162303117</v>
      </c>
      <c r="F166" t="s">
        <v>439</v>
      </c>
      <c r="G166" t="s">
        <v>439</v>
      </c>
      <c r="H166" s="14">
        <v>1</v>
      </c>
      <c r="I166" s="10" t="s">
        <v>28</v>
      </c>
      <c r="J166" s="1">
        <v>45567</v>
      </c>
      <c r="K166" s="1">
        <v>45598</v>
      </c>
      <c r="L166" s="26">
        <f ca="1">CLIENTES[[#This Row],[Fecha Vencimiento]]-$J$6</f>
        <v>3</v>
      </c>
      <c r="N166" s="1" t="str">
        <f t="shared" ca="1" si="4"/>
        <v>Por vencer</v>
      </c>
      <c r="O166" s="19">
        <v>45567</v>
      </c>
      <c r="P166" s="2"/>
      <c r="Q166" s="2">
        <f t="shared" si="5"/>
        <v>-45567</v>
      </c>
    </row>
    <row r="167" spans="1:17" x14ac:dyDescent="0.25">
      <c r="C167" s="13" t="s">
        <v>431</v>
      </c>
      <c r="D167" s="13" t="s">
        <v>440</v>
      </c>
      <c r="E167" s="10">
        <v>1161806907</v>
      </c>
      <c r="F167" t="s">
        <v>35</v>
      </c>
      <c r="G167" t="s">
        <v>441</v>
      </c>
      <c r="H167" s="14">
        <v>6</v>
      </c>
      <c r="I167" s="10" t="s">
        <v>28</v>
      </c>
      <c r="J167" s="1">
        <v>45588</v>
      </c>
      <c r="K167" s="1">
        <v>45619</v>
      </c>
      <c r="L167" s="25">
        <f ca="1">CLIENTES[[#This Row],[Fecha Vencimiento]]-$J$6</f>
        <v>24</v>
      </c>
      <c r="N167" s="1" t="str">
        <f t="shared" ca="1" si="4"/>
        <v>Al dia</v>
      </c>
      <c r="O167" s="19"/>
      <c r="P167" s="2"/>
      <c r="Q167" s="2">
        <f t="shared" si="5"/>
        <v>0</v>
      </c>
    </row>
    <row r="168" spans="1:17" x14ac:dyDescent="0.25">
      <c r="C168" s="13" t="s">
        <v>431</v>
      </c>
      <c r="D168" s="13" t="s">
        <v>432</v>
      </c>
      <c r="E168" s="10">
        <v>1124743889</v>
      </c>
      <c r="F168" t="s">
        <v>232</v>
      </c>
      <c r="G168" t="s">
        <v>442</v>
      </c>
      <c r="H168" s="14">
        <v>2</v>
      </c>
      <c r="I168" s="10" t="s">
        <v>183</v>
      </c>
      <c r="J168" s="1">
        <v>45581</v>
      </c>
      <c r="K168" s="1">
        <v>45606</v>
      </c>
      <c r="L168" s="25">
        <f ca="1">CLIENTES[[#This Row],[Fecha Vencimiento]]-$J$6</f>
        <v>11</v>
      </c>
      <c r="N168" s="1" t="str">
        <f t="shared" ca="1" si="4"/>
        <v>Al dia</v>
      </c>
      <c r="O168" s="19">
        <v>45545</v>
      </c>
      <c r="P168" s="2"/>
      <c r="Q168" s="2">
        <f t="shared" si="5"/>
        <v>-45545</v>
      </c>
    </row>
    <row r="169" spans="1:17" x14ac:dyDescent="0.25">
      <c r="C169" s="13" t="s">
        <v>431</v>
      </c>
      <c r="D169" s="13" t="s">
        <v>443</v>
      </c>
      <c r="E169" s="10" t="s">
        <v>2931</v>
      </c>
      <c r="F169" t="s">
        <v>35</v>
      </c>
      <c r="G169" t="s">
        <v>444</v>
      </c>
      <c r="H169" s="14">
        <v>6</v>
      </c>
      <c r="I169" s="10" t="s">
        <v>28</v>
      </c>
      <c r="J169" s="1">
        <v>45588</v>
      </c>
      <c r="K169" s="1">
        <v>45617</v>
      </c>
      <c r="L169" s="25">
        <f ca="1">CLIENTES[[#This Row],[Fecha Vencimiento]]-$J$6</f>
        <v>22</v>
      </c>
      <c r="N169" s="1" t="str">
        <f t="shared" ca="1" si="4"/>
        <v>Al dia</v>
      </c>
      <c r="O169" s="19"/>
      <c r="P169" s="2"/>
      <c r="Q169" s="2">
        <f t="shared" si="5"/>
        <v>0</v>
      </c>
    </row>
    <row r="170" spans="1:17" x14ac:dyDescent="0.25">
      <c r="C170" s="13" t="s">
        <v>431</v>
      </c>
      <c r="D170" s="13" t="s">
        <v>445</v>
      </c>
      <c r="E170" s="10">
        <v>1150256580</v>
      </c>
      <c r="F170" t="s">
        <v>35</v>
      </c>
      <c r="G170" t="s">
        <v>446</v>
      </c>
      <c r="H170" s="14">
        <v>3</v>
      </c>
      <c r="I170" s="10" t="s">
        <v>28</v>
      </c>
      <c r="J170" s="1">
        <v>45576</v>
      </c>
      <c r="K170" s="1">
        <v>45608</v>
      </c>
      <c r="L170" s="25">
        <f ca="1">CLIENTES[[#This Row],[Fecha Vencimiento]]-$J$6</f>
        <v>13</v>
      </c>
      <c r="N170" s="1" t="str">
        <f t="shared" ca="1" si="4"/>
        <v>Al dia</v>
      </c>
      <c r="O170" s="19"/>
      <c r="P170" s="2"/>
      <c r="Q170" s="2">
        <f t="shared" si="5"/>
        <v>0</v>
      </c>
    </row>
    <row r="171" spans="1:17" x14ac:dyDescent="0.25">
      <c r="C171" s="13" t="s">
        <v>431</v>
      </c>
      <c r="D171" s="13" t="s">
        <v>447</v>
      </c>
      <c r="E171" s="10" t="s">
        <v>3110</v>
      </c>
      <c r="F171" t="s">
        <v>35</v>
      </c>
      <c r="G171" t="s">
        <v>448</v>
      </c>
      <c r="H171" s="14">
        <v>3</v>
      </c>
      <c r="I171" s="10" t="s">
        <v>28</v>
      </c>
      <c r="J171" s="1">
        <v>45572</v>
      </c>
      <c r="K171" s="1">
        <v>45605</v>
      </c>
      <c r="L171" s="25">
        <f ca="1">CLIENTES[[#This Row],[Fecha Vencimiento]]-$J$6</f>
        <v>10</v>
      </c>
      <c r="N171" s="1" t="str">
        <f t="shared" ca="1" si="4"/>
        <v>Al dia</v>
      </c>
      <c r="O171" s="19"/>
      <c r="P171" s="2"/>
      <c r="Q171" s="2">
        <f t="shared" si="5"/>
        <v>0</v>
      </c>
    </row>
    <row r="172" spans="1:17" x14ac:dyDescent="0.25">
      <c r="C172" s="13" t="s">
        <v>431</v>
      </c>
      <c r="D172" s="13" t="s">
        <v>449</v>
      </c>
      <c r="E172" s="10">
        <v>1158134916</v>
      </c>
      <c r="F172" t="s">
        <v>35</v>
      </c>
      <c r="G172" t="s">
        <v>450</v>
      </c>
      <c r="H172" s="14">
        <v>4</v>
      </c>
      <c r="I172" s="10" t="s">
        <v>28</v>
      </c>
      <c r="J172" s="1">
        <v>45584</v>
      </c>
      <c r="K172" s="1">
        <v>45611</v>
      </c>
      <c r="L172" s="25">
        <f ca="1">CLIENTES[[#This Row],[Fecha Vencimiento]]-$J$6</f>
        <v>16</v>
      </c>
      <c r="N172" s="1" t="str">
        <f t="shared" ca="1" si="4"/>
        <v>Al dia</v>
      </c>
      <c r="O172" s="19"/>
      <c r="P172" s="2"/>
      <c r="Q172" s="2">
        <f t="shared" si="5"/>
        <v>0</v>
      </c>
    </row>
    <row r="173" spans="1:17" x14ac:dyDescent="0.25">
      <c r="C173" s="13" t="s">
        <v>431</v>
      </c>
      <c r="D173" s="13" t="s">
        <v>141</v>
      </c>
      <c r="E173" s="10">
        <v>1171094622</v>
      </c>
      <c r="F173" t="s">
        <v>35</v>
      </c>
      <c r="G173" t="s">
        <v>451</v>
      </c>
      <c r="I173" s="10" t="s">
        <v>28</v>
      </c>
      <c r="J173" s="1">
        <v>45524</v>
      </c>
      <c r="K173" s="1">
        <v>45544</v>
      </c>
      <c r="L173" s="25">
        <f ca="1">CLIENTES[[#This Row],[Fecha Vencimiento]]-$J$6</f>
        <v>-51</v>
      </c>
      <c r="N173" s="1" t="str">
        <f t="shared" ca="1" si="4"/>
        <v>Vencido</v>
      </c>
      <c r="O173" s="19"/>
      <c r="P173" s="2"/>
      <c r="Q173" s="2">
        <f t="shared" si="5"/>
        <v>0</v>
      </c>
    </row>
    <row r="174" spans="1:17" x14ac:dyDescent="0.25">
      <c r="C174" s="13" t="s">
        <v>452</v>
      </c>
      <c r="D174" s="13" t="s">
        <v>453</v>
      </c>
      <c r="E174" s="10">
        <v>1130953328</v>
      </c>
      <c r="F174" t="s">
        <v>35</v>
      </c>
      <c r="G174" t="s">
        <v>454</v>
      </c>
      <c r="H174" s="14">
        <v>1</v>
      </c>
      <c r="I174" s="10" t="s">
        <v>28</v>
      </c>
      <c r="J174" s="1">
        <v>45574</v>
      </c>
      <c r="K174" s="1">
        <v>45605</v>
      </c>
      <c r="L174" s="25">
        <f ca="1">CLIENTES[[#This Row],[Fecha Vencimiento]]-$J$6</f>
        <v>10</v>
      </c>
      <c r="N174" s="1" t="str">
        <f t="shared" ca="1" si="4"/>
        <v>Al dia</v>
      </c>
      <c r="O174" s="19">
        <v>45605</v>
      </c>
      <c r="P174" s="2"/>
      <c r="Q174" s="2">
        <f t="shared" si="5"/>
        <v>-45605</v>
      </c>
    </row>
    <row r="175" spans="1:17" x14ac:dyDescent="0.25">
      <c r="C175" s="13" t="s">
        <v>455</v>
      </c>
      <c r="D175" s="13" t="s">
        <v>456</v>
      </c>
      <c r="E175" s="10">
        <v>1162303997</v>
      </c>
      <c r="F175" t="s">
        <v>26</v>
      </c>
      <c r="G175" t="s">
        <v>457</v>
      </c>
      <c r="H175" s="14">
        <v>1</v>
      </c>
      <c r="I175" s="10" t="s">
        <v>28</v>
      </c>
      <c r="J175" s="1">
        <v>45567</v>
      </c>
      <c r="K175" s="1">
        <v>45598</v>
      </c>
      <c r="L175" s="25">
        <f ca="1">CLIENTES[[#This Row],[Fecha Vencimiento]]-$J$6</f>
        <v>3</v>
      </c>
      <c r="N175" s="1" t="str">
        <f t="shared" ca="1" si="4"/>
        <v>Por vencer</v>
      </c>
      <c r="O175" s="19">
        <v>45567</v>
      </c>
      <c r="P175" s="2"/>
      <c r="Q175" s="2">
        <f t="shared" si="5"/>
        <v>-45567</v>
      </c>
    </row>
    <row r="176" spans="1:17" x14ac:dyDescent="0.25">
      <c r="C176" s="13" t="s">
        <v>458</v>
      </c>
      <c r="D176" s="13" t="s">
        <v>459</v>
      </c>
      <c r="E176" s="10" t="s">
        <v>3111</v>
      </c>
      <c r="F176" t="s">
        <v>35</v>
      </c>
      <c r="G176" t="s">
        <v>460</v>
      </c>
      <c r="I176" s="10" t="s">
        <v>28</v>
      </c>
      <c r="J176" s="1">
        <v>45512</v>
      </c>
      <c r="K176" s="1">
        <v>45554</v>
      </c>
      <c r="L176" s="25">
        <f ca="1">CLIENTES[[#This Row],[Fecha Vencimiento]]-$J$6</f>
        <v>-41</v>
      </c>
      <c r="N176" s="1" t="str">
        <f t="shared" ca="1" si="4"/>
        <v>Vencido</v>
      </c>
      <c r="O176" s="19"/>
      <c r="P176" s="2"/>
      <c r="Q176" s="2">
        <f t="shared" si="5"/>
        <v>0</v>
      </c>
    </row>
    <row r="177" spans="3:17" x14ac:dyDescent="0.25">
      <c r="C177" s="13" t="s">
        <v>461</v>
      </c>
      <c r="D177" s="13" t="s">
        <v>462</v>
      </c>
      <c r="E177" s="10">
        <v>1126831556</v>
      </c>
      <c r="F177" t="s">
        <v>35</v>
      </c>
      <c r="G177" t="s">
        <v>463</v>
      </c>
      <c r="H177" s="14">
        <v>3</v>
      </c>
      <c r="I177" s="10" t="s">
        <v>28</v>
      </c>
      <c r="J177" s="1">
        <v>45584</v>
      </c>
      <c r="K177" s="1">
        <v>45615</v>
      </c>
      <c r="L177" s="25">
        <f ca="1">CLIENTES[[#This Row],[Fecha Vencimiento]]-$J$6</f>
        <v>20</v>
      </c>
      <c r="N177" s="1" t="str">
        <f t="shared" ca="1" si="4"/>
        <v>Al dia</v>
      </c>
      <c r="O177" s="19"/>
      <c r="P177" s="2"/>
      <c r="Q177" s="2">
        <f t="shared" si="5"/>
        <v>0</v>
      </c>
    </row>
    <row r="178" spans="3:17" x14ac:dyDescent="0.25">
      <c r="C178" s="13" t="s">
        <v>464</v>
      </c>
      <c r="D178" s="13" t="s">
        <v>465</v>
      </c>
      <c r="E178" s="10">
        <v>1164169446</v>
      </c>
      <c r="F178" t="s">
        <v>35</v>
      </c>
      <c r="G178" t="s">
        <v>466</v>
      </c>
      <c r="H178" s="14">
        <v>1</v>
      </c>
      <c r="I178" s="10" t="s">
        <v>28</v>
      </c>
      <c r="J178" s="1">
        <v>45525</v>
      </c>
      <c r="K178" s="1">
        <v>45556</v>
      </c>
      <c r="L178" s="25">
        <f ca="1">CLIENTES[[#This Row],[Fecha Vencimiento]]-$J$6</f>
        <v>-39</v>
      </c>
      <c r="N178" s="1" t="str">
        <f t="shared" ca="1" si="4"/>
        <v>Vencido</v>
      </c>
      <c r="O178" s="19"/>
      <c r="P178" s="2"/>
      <c r="Q178" s="2">
        <f t="shared" si="5"/>
        <v>0</v>
      </c>
    </row>
    <row r="179" spans="3:17" x14ac:dyDescent="0.25">
      <c r="C179" s="13" t="s">
        <v>464</v>
      </c>
      <c r="D179" s="13" t="s">
        <v>465</v>
      </c>
      <c r="E179" s="10">
        <v>1164169446</v>
      </c>
      <c r="F179" t="s">
        <v>35</v>
      </c>
      <c r="G179" t="s">
        <v>467</v>
      </c>
      <c r="I179" s="10" t="s">
        <v>28</v>
      </c>
      <c r="J179" s="1">
        <v>45518</v>
      </c>
      <c r="K179" s="1">
        <v>45549</v>
      </c>
      <c r="L179" s="25">
        <f ca="1">CLIENTES[[#This Row],[Fecha Vencimiento]]-$J$6</f>
        <v>-46</v>
      </c>
      <c r="N179" s="1" t="str">
        <f t="shared" ca="1" si="4"/>
        <v>Vencido</v>
      </c>
      <c r="O179" s="19"/>
      <c r="P179" s="2"/>
      <c r="Q179" s="2">
        <f t="shared" si="5"/>
        <v>0</v>
      </c>
    </row>
    <row r="180" spans="3:17" x14ac:dyDescent="0.25">
      <c r="C180" t="s">
        <v>464</v>
      </c>
      <c r="D180" t="s">
        <v>468</v>
      </c>
      <c r="E180" s="10">
        <v>1164169446</v>
      </c>
      <c r="F180" t="s">
        <v>35</v>
      </c>
      <c r="G180" t="s">
        <v>469</v>
      </c>
      <c r="H180" s="14">
        <v>3</v>
      </c>
      <c r="I180" s="10" t="s">
        <v>28</v>
      </c>
      <c r="J180" s="1">
        <v>45593</v>
      </c>
      <c r="K180" s="1">
        <v>45624</v>
      </c>
      <c r="L180" s="25">
        <f ca="1">CLIENTES[[#This Row],[Fecha Vencimiento]]-$J$6</f>
        <v>29</v>
      </c>
      <c r="N180" s="1" t="str">
        <f t="shared" ca="1" si="4"/>
        <v>Al dia</v>
      </c>
      <c r="O180" s="19">
        <v>45532</v>
      </c>
      <c r="P180" s="2"/>
      <c r="Q180" s="2">
        <f t="shared" si="5"/>
        <v>-45532</v>
      </c>
    </row>
    <row r="181" spans="3:17" x14ac:dyDescent="0.25">
      <c r="C181" t="s">
        <v>464</v>
      </c>
      <c r="D181" t="s">
        <v>465</v>
      </c>
      <c r="E181" s="10">
        <v>1164169446</v>
      </c>
      <c r="F181" t="s">
        <v>159</v>
      </c>
      <c r="G181" t="s">
        <v>466</v>
      </c>
      <c r="H181" s="14">
        <v>1</v>
      </c>
      <c r="I181" s="10" t="s">
        <v>183</v>
      </c>
      <c r="J181" s="1">
        <v>45558</v>
      </c>
      <c r="K181" s="1">
        <v>45588</v>
      </c>
      <c r="L181" s="25">
        <f ca="1">CLIENTES[[#This Row],[Fecha Vencimiento]]-$J$6</f>
        <v>-7</v>
      </c>
      <c r="N181" s="1" t="str">
        <f t="shared" ca="1" si="4"/>
        <v>Vencido</v>
      </c>
      <c r="O181" s="19">
        <v>45558</v>
      </c>
      <c r="P181" s="2"/>
      <c r="Q181" s="2">
        <f t="shared" si="5"/>
        <v>-45558</v>
      </c>
    </row>
    <row r="182" spans="3:17" x14ac:dyDescent="0.25">
      <c r="C182" t="s">
        <v>464</v>
      </c>
      <c r="D182" t="s">
        <v>470</v>
      </c>
      <c r="E182" s="10">
        <v>1164169446</v>
      </c>
      <c r="F182" t="s">
        <v>35</v>
      </c>
      <c r="G182" t="s">
        <v>471</v>
      </c>
      <c r="H182" s="14">
        <v>1</v>
      </c>
      <c r="I182" s="10" t="s">
        <v>28</v>
      </c>
      <c r="J182" s="1">
        <v>45571</v>
      </c>
      <c r="K182" s="1">
        <v>45602</v>
      </c>
      <c r="L182" s="25">
        <f ca="1">CLIENTES[[#This Row],[Fecha Vencimiento]]-$J$6</f>
        <v>7</v>
      </c>
      <c r="N182" s="1" t="str">
        <f t="shared" ca="1" si="4"/>
        <v>Al dia</v>
      </c>
      <c r="O182" s="19">
        <v>45571</v>
      </c>
      <c r="P182" s="2"/>
      <c r="Q182" s="2">
        <f t="shared" si="5"/>
        <v>-45571</v>
      </c>
    </row>
    <row r="183" spans="3:17" x14ac:dyDescent="0.25">
      <c r="C183" s="13" t="s">
        <v>472</v>
      </c>
      <c r="D183" s="13" t="s">
        <v>473</v>
      </c>
      <c r="E183" s="10">
        <v>1140850822</v>
      </c>
      <c r="F183" t="s">
        <v>35</v>
      </c>
      <c r="G183" t="s">
        <v>474</v>
      </c>
      <c r="H183" s="14">
        <v>3</v>
      </c>
      <c r="I183" s="10" t="s">
        <v>28</v>
      </c>
      <c r="J183" s="1">
        <v>45573</v>
      </c>
      <c r="K183" s="1">
        <v>45601</v>
      </c>
      <c r="L183" s="25">
        <f ca="1">CLIENTES[[#This Row],[Fecha Vencimiento]]-$J$6</f>
        <v>6</v>
      </c>
      <c r="N183" s="1" t="str">
        <f t="shared" ca="1" si="4"/>
        <v>Al dia</v>
      </c>
      <c r="O183" s="19"/>
      <c r="P183" s="2"/>
      <c r="Q183" s="2">
        <f t="shared" si="5"/>
        <v>0</v>
      </c>
    </row>
    <row r="184" spans="3:17" x14ac:dyDescent="0.25">
      <c r="C184" s="13" t="s">
        <v>475</v>
      </c>
      <c r="D184" s="13" t="s">
        <v>476</v>
      </c>
      <c r="E184" s="10">
        <v>1162543786</v>
      </c>
      <c r="F184" t="s">
        <v>35</v>
      </c>
      <c r="G184" t="s">
        <v>477</v>
      </c>
      <c r="H184" s="14">
        <v>1</v>
      </c>
      <c r="I184" s="10" t="s">
        <v>28</v>
      </c>
      <c r="J184" s="1">
        <v>45570</v>
      </c>
      <c r="K184" s="1">
        <v>45601</v>
      </c>
      <c r="L184" s="25">
        <f ca="1">CLIENTES[[#This Row],[Fecha Vencimiento]]-$J$6</f>
        <v>6</v>
      </c>
      <c r="N184" s="1" t="str">
        <f t="shared" ca="1" si="4"/>
        <v>Al dia</v>
      </c>
      <c r="O184" s="19">
        <v>45570</v>
      </c>
      <c r="P184" s="2"/>
      <c r="Q184" s="2">
        <f t="shared" si="5"/>
        <v>-45570</v>
      </c>
    </row>
    <row r="185" spans="3:17" x14ac:dyDescent="0.25">
      <c r="C185" s="13" t="s">
        <v>478</v>
      </c>
      <c r="D185" s="13" t="s">
        <v>374</v>
      </c>
      <c r="E185" s="10">
        <v>1161068019</v>
      </c>
      <c r="F185" t="s">
        <v>35</v>
      </c>
      <c r="G185" t="s">
        <v>479</v>
      </c>
      <c r="H185" s="14">
        <v>3</v>
      </c>
      <c r="I185" s="10" t="s">
        <v>28</v>
      </c>
      <c r="J185" s="1">
        <v>45577</v>
      </c>
      <c r="K185" s="1">
        <v>45608</v>
      </c>
      <c r="L185" s="25">
        <f ca="1">CLIENTES[[#This Row],[Fecha Vencimiento]]-$J$6</f>
        <v>13</v>
      </c>
      <c r="N185" s="1" t="str">
        <f t="shared" ca="1" si="4"/>
        <v>Al dia</v>
      </c>
      <c r="O185" s="19"/>
      <c r="P185" s="2"/>
      <c r="Q185" s="2">
        <f t="shared" si="5"/>
        <v>0</v>
      </c>
    </row>
    <row r="186" spans="3:17" x14ac:dyDescent="0.25">
      <c r="C186" s="13" t="s">
        <v>480</v>
      </c>
      <c r="D186" s="13" t="s">
        <v>481</v>
      </c>
      <c r="E186" s="10">
        <v>1150354970</v>
      </c>
      <c r="F186" t="s">
        <v>35</v>
      </c>
      <c r="G186" t="s">
        <v>482</v>
      </c>
      <c r="H186" s="14">
        <v>6</v>
      </c>
      <c r="I186" s="10" t="s">
        <v>28</v>
      </c>
      <c r="J186" s="1">
        <v>45574</v>
      </c>
      <c r="K186" s="1">
        <v>45605</v>
      </c>
      <c r="L186" s="25">
        <f ca="1">CLIENTES[[#This Row],[Fecha Vencimiento]]-$J$6</f>
        <v>10</v>
      </c>
      <c r="N186" s="1" t="str">
        <f t="shared" ca="1" si="4"/>
        <v>Al dia</v>
      </c>
      <c r="O186" s="19"/>
      <c r="P186" s="2"/>
      <c r="Q186" s="2">
        <f t="shared" si="5"/>
        <v>0</v>
      </c>
    </row>
    <row r="187" spans="3:17" x14ac:dyDescent="0.25">
      <c r="C187" s="13" t="s">
        <v>483</v>
      </c>
      <c r="D187" s="13" t="s">
        <v>484</v>
      </c>
      <c r="E187" s="10">
        <v>1145509270</v>
      </c>
      <c r="F187" t="s">
        <v>35</v>
      </c>
      <c r="G187" t="s">
        <v>485</v>
      </c>
      <c r="H187" s="14">
        <v>1</v>
      </c>
      <c r="I187" s="10" t="s">
        <v>28</v>
      </c>
      <c r="J187" s="1">
        <v>45569</v>
      </c>
      <c r="K187" s="1">
        <v>45602</v>
      </c>
      <c r="L187" s="25">
        <f ca="1">CLIENTES[[#This Row],[Fecha Vencimiento]]-$J$6</f>
        <v>7</v>
      </c>
      <c r="N187" s="1" t="str">
        <f t="shared" ca="1" si="4"/>
        <v>Al dia</v>
      </c>
      <c r="O187" s="19"/>
      <c r="P187" s="2"/>
      <c r="Q187" s="2">
        <f t="shared" si="5"/>
        <v>0</v>
      </c>
    </row>
    <row r="188" spans="3:17" x14ac:dyDescent="0.25">
      <c r="C188" s="13" t="s">
        <v>483</v>
      </c>
      <c r="D188" s="13" t="s">
        <v>484</v>
      </c>
      <c r="E188" s="10">
        <v>1145509270</v>
      </c>
      <c r="F188" t="s">
        <v>35</v>
      </c>
      <c r="G188" t="s">
        <v>486</v>
      </c>
      <c r="H188" s="14">
        <v>1</v>
      </c>
      <c r="I188" s="10" t="s">
        <v>28</v>
      </c>
      <c r="J188" s="1">
        <v>45569</v>
      </c>
      <c r="K188" s="1">
        <v>45602</v>
      </c>
      <c r="L188" s="25">
        <f ca="1">CLIENTES[[#This Row],[Fecha Vencimiento]]-$J$6</f>
        <v>7</v>
      </c>
      <c r="N188" s="1" t="str">
        <f t="shared" ca="1" si="4"/>
        <v>Al dia</v>
      </c>
      <c r="O188" s="19"/>
      <c r="P188" s="2"/>
      <c r="Q188" s="2">
        <f t="shared" si="5"/>
        <v>0</v>
      </c>
    </row>
    <row r="189" spans="3:17" x14ac:dyDescent="0.25">
      <c r="C189" s="13" t="s">
        <v>487</v>
      </c>
      <c r="D189" s="13" t="s">
        <v>488</v>
      </c>
      <c r="E189" s="10">
        <v>1165336551</v>
      </c>
      <c r="F189" t="s">
        <v>35</v>
      </c>
      <c r="G189" t="s">
        <v>489</v>
      </c>
      <c r="H189" s="14">
        <v>6</v>
      </c>
      <c r="I189" s="10" t="s">
        <v>28</v>
      </c>
      <c r="J189" s="1">
        <v>45537</v>
      </c>
      <c r="K189" s="1">
        <v>45567</v>
      </c>
      <c r="L189" s="25">
        <f ca="1">CLIENTES[[#This Row],[Fecha Vencimiento]]-$J$6</f>
        <v>-28</v>
      </c>
      <c r="N189" s="1" t="str">
        <f t="shared" ca="1" si="4"/>
        <v>Vencido</v>
      </c>
      <c r="O189" s="19"/>
      <c r="P189" s="2"/>
      <c r="Q189" s="2">
        <f t="shared" si="5"/>
        <v>0</v>
      </c>
    </row>
    <row r="190" spans="3:17" x14ac:dyDescent="0.25">
      <c r="C190" s="13" t="s">
        <v>490</v>
      </c>
      <c r="D190" s="13" t="s">
        <v>491</v>
      </c>
      <c r="E190" s="10">
        <v>1154173132</v>
      </c>
      <c r="F190" t="s">
        <v>35</v>
      </c>
      <c r="G190" t="s">
        <v>492</v>
      </c>
      <c r="H190" s="14">
        <v>1</v>
      </c>
      <c r="I190" s="10" t="s">
        <v>28</v>
      </c>
      <c r="J190" s="1">
        <v>45551</v>
      </c>
      <c r="K190" s="1">
        <v>45581</v>
      </c>
      <c r="L190" s="25">
        <f ca="1">CLIENTES[[#This Row],[Fecha Vencimiento]]-$J$6</f>
        <v>-14</v>
      </c>
      <c r="N190" s="1" t="str">
        <f t="shared" ca="1" si="4"/>
        <v>Vencido</v>
      </c>
      <c r="O190" s="19">
        <v>45551</v>
      </c>
      <c r="P190" s="2"/>
      <c r="Q190" s="2">
        <f t="shared" si="5"/>
        <v>-45551</v>
      </c>
    </row>
    <row r="191" spans="3:17" x14ac:dyDescent="0.25">
      <c r="C191" s="13" t="s">
        <v>493</v>
      </c>
      <c r="D191" s="13" t="s">
        <v>494</v>
      </c>
      <c r="F191" t="s">
        <v>35</v>
      </c>
      <c r="G191" t="s">
        <v>495</v>
      </c>
      <c r="H191" s="14">
        <v>4</v>
      </c>
      <c r="I191" s="10" t="s">
        <v>28</v>
      </c>
      <c r="J191" s="1">
        <v>45568</v>
      </c>
      <c r="K191" s="1">
        <v>45602</v>
      </c>
      <c r="L191" s="25">
        <f ca="1">CLIENTES[[#This Row],[Fecha Vencimiento]]-$J$6</f>
        <v>7</v>
      </c>
      <c r="N191" s="1" t="str">
        <f t="shared" ca="1" si="4"/>
        <v>Al dia</v>
      </c>
      <c r="O191" s="19"/>
      <c r="P191" s="2"/>
      <c r="Q191" s="2">
        <f t="shared" si="5"/>
        <v>0</v>
      </c>
    </row>
    <row r="192" spans="3:17" x14ac:dyDescent="0.25">
      <c r="C192" s="13" t="s">
        <v>496</v>
      </c>
      <c r="D192" s="13" t="s">
        <v>497</v>
      </c>
      <c r="E192" s="10">
        <v>1125227352</v>
      </c>
      <c r="F192" t="s">
        <v>35</v>
      </c>
      <c r="G192" t="s">
        <v>498</v>
      </c>
      <c r="H192" s="14">
        <v>1</v>
      </c>
      <c r="I192" s="10" t="s">
        <v>28</v>
      </c>
      <c r="J192" s="1">
        <v>45545</v>
      </c>
      <c r="K192" s="1">
        <v>45575</v>
      </c>
      <c r="L192" s="25">
        <f ca="1">CLIENTES[[#This Row],[Fecha Vencimiento]]-$J$6</f>
        <v>-20</v>
      </c>
      <c r="N192" s="1" t="str">
        <f t="shared" ca="1" si="4"/>
        <v>Vencido</v>
      </c>
      <c r="O192" s="19">
        <v>45527</v>
      </c>
      <c r="P192" s="2"/>
      <c r="Q192" s="2">
        <f t="shared" si="5"/>
        <v>-45527</v>
      </c>
    </row>
    <row r="193" spans="3:17" x14ac:dyDescent="0.25">
      <c r="C193" s="13" t="s">
        <v>499</v>
      </c>
      <c r="D193" s="13" t="s">
        <v>500</v>
      </c>
      <c r="E193" s="10">
        <v>1161858266</v>
      </c>
      <c r="F193" t="s">
        <v>35</v>
      </c>
      <c r="G193" t="s">
        <v>501</v>
      </c>
      <c r="H193" s="14">
        <v>3</v>
      </c>
      <c r="I193" s="10" t="s">
        <v>28</v>
      </c>
      <c r="J193" s="1">
        <v>45584</v>
      </c>
      <c r="K193" s="1">
        <v>45617</v>
      </c>
      <c r="L193" s="25">
        <f ca="1">CLIENTES[[#This Row],[Fecha Vencimiento]]-$J$6</f>
        <v>22</v>
      </c>
      <c r="N193" s="1" t="str">
        <f t="shared" ca="1" si="4"/>
        <v>Al dia</v>
      </c>
      <c r="O193" s="19"/>
      <c r="P193" s="2"/>
      <c r="Q193" s="2">
        <f t="shared" si="5"/>
        <v>0</v>
      </c>
    </row>
    <row r="194" spans="3:17" x14ac:dyDescent="0.25">
      <c r="C194" s="13" t="s">
        <v>502</v>
      </c>
      <c r="D194" s="13" t="s">
        <v>272</v>
      </c>
      <c r="F194" t="s">
        <v>35</v>
      </c>
      <c r="G194" t="s">
        <v>503</v>
      </c>
      <c r="I194" s="10" t="s">
        <v>28</v>
      </c>
      <c r="J194" s="1">
        <v>45444</v>
      </c>
      <c r="K194" s="1">
        <v>45473</v>
      </c>
      <c r="L194" s="25">
        <f ca="1">CLIENTES[[#This Row],[Fecha Vencimiento]]-$J$6</f>
        <v>-122</v>
      </c>
      <c r="N194" s="1" t="str">
        <f t="shared" ca="1" si="4"/>
        <v>Vencido</v>
      </c>
      <c r="O194" s="19"/>
      <c r="P194" s="2"/>
      <c r="Q194" s="2">
        <f t="shared" si="5"/>
        <v>0</v>
      </c>
    </row>
    <row r="195" spans="3:17" x14ac:dyDescent="0.25">
      <c r="C195" s="13" t="s">
        <v>504</v>
      </c>
      <c r="D195" s="13" t="s">
        <v>505</v>
      </c>
      <c r="F195" t="s">
        <v>35</v>
      </c>
      <c r="G195" t="s">
        <v>506</v>
      </c>
      <c r="I195" s="10" t="s">
        <v>28</v>
      </c>
      <c r="J195" s="1">
        <v>45449</v>
      </c>
      <c r="K195" s="1">
        <v>45478</v>
      </c>
      <c r="L195" s="25">
        <f ca="1">CLIENTES[[#This Row],[Fecha Vencimiento]]-$J$6</f>
        <v>-117</v>
      </c>
      <c r="N195" s="1" t="str">
        <f t="shared" ca="1" si="4"/>
        <v>Vencido</v>
      </c>
      <c r="O195" s="19"/>
      <c r="P195" s="2"/>
      <c r="Q195" s="2">
        <f t="shared" si="5"/>
        <v>0</v>
      </c>
    </row>
    <row r="196" spans="3:17" x14ac:dyDescent="0.25">
      <c r="C196" s="13" t="s">
        <v>504</v>
      </c>
      <c r="D196" s="13" t="s">
        <v>507</v>
      </c>
      <c r="F196" t="s">
        <v>232</v>
      </c>
      <c r="G196" t="s">
        <v>508</v>
      </c>
      <c r="H196" s="14">
        <v>2</v>
      </c>
      <c r="I196" s="10" t="s">
        <v>183</v>
      </c>
      <c r="J196" s="1">
        <v>45568</v>
      </c>
      <c r="K196" s="1">
        <v>45603</v>
      </c>
      <c r="L196" s="25">
        <f ca="1">CLIENTES[[#This Row],[Fecha Vencimiento]]-$J$6</f>
        <v>8</v>
      </c>
      <c r="N196" s="1" t="str">
        <f t="shared" ca="1" si="4"/>
        <v>Al dia</v>
      </c>
      <c r="O196" s="19"/>
      <c r="P196" s="2"/>
      <c r="Q196" s="2">
        <f t="shared" si="5"/>
        <v>0</v>
      </c>
    </row>
    <row r="197" spans="3:17" x14ac:dyDescent="0.25">
      <c r="C197" s="13" t="s">
        <v>504</v>
      </c>
      <c r="D197" s="13" t="s">
        <v>509</v>
      </c>
      <c r="E197" s="10">
        <v>1162203619</v>
      </c>
      <c r="F197" t="s">
        <v>35</v>
      </c>
      <c r="G197" t="s">
        <v>510</v>
      </c>
      <c r="H197" s="14">
        <v>1</v>
      </c>
      <c r="I197" s="10" t="s">
        <v>28</v>
      </c>
      <c r="J197" s="1">
        <v>45551</v>
      </c>
      <c r="K197" s="1">
        <v>45581</v>
      </c>
      <c r="L197" s="25">
        <f ca="1">CLIENTES[[#This Row],[Fecha Vencimiento]]-$J$6</f>
        <v>-14</v>
      </c>
      <c r="N197" s="1" t="str">
        <f t="shared" ca="1" si="4"/>
        <v>Vencido</v>
      </c>
      <c r="O197" s="19">
        <v>45551</v>
      </c>
      <c r="P197" s="2"/>
      <c r="Q197" s="2">
        <f t="shared" si="5"/>
        <v>-45551</v>
      </c>
    </row>
    <row r="198" spans="3:17" x14ac:dyDescent="0.25">
      <c r="C198" s="13" t="s">
        <v>504</v>
      </c>
      <c r="D198" s="13" t="s">
        <v>509</v>
      </c>
      <c r="F198" t="s">
        <v>35</v>
      </c>
      <c r="G198" t="s">
        <v>511</v>
      </c>
      <c r="I198" s="10" t="s">
        <v>28</v>
      </c>
      <c r="J198" s="1">
        <v>45460</v>
      </c>
      <c r="K198" s="1">
        <v>45483</v>
      </c>
      <c r="L198" s="25">
        <f ca="1">CLIENTES[[#This Row],[Fecha Vencimiento]]-$J$6</f>
        <v>-112</v>
      </c>
      <c r="N198" s="1" t="str">
        <f t="shared" ca="1" si="4"/>
        <v>Vencido</v>
      </c>
      <c r="O198" s="19"/>
      <c r="P198" s="2"/>
      <c r="Q198" s="2">
        <f t="shared" si="5"/>
        <v>0</v>
      </c>
    </row>
    <row r="199" spans="3:17" x14ac:dyDescent="0.25">
      <c r="C199" t="s">
        <v>512</v>
      </c>
      <c r="D199" t="s">
        <v>513</v>
      </c>
      <c r="E199" s="10" t="s">
        <v>2931</v>
      </c>
      <c r="G199" t="s">
        <v>514</v>
      </c>
      <c r="H199" s="14">
        <v>2</v>
      </c>
      <c r="I199" s="10" t="s">
        <v>28</v>
      </c>
      <c r="J199" s="1">
        <v>45565</v>
      </c>
      <c r="K199" s="1">
        <v>45593</v>
      </c>
      <c r="L199" s="25">
        <f ca="1">CLIENTES[[#This Row],[Fecha Vencimiento]]-$J$6</f>
        <v>-2</v>
      </c>
      <c r="N199" s="1" t="str">
        <f t="shared" ca="1" si="4"/>
        <v>Vencido</v>
      </c>
      <c r="O199" s="19"/>
      <c r="P199" s="2"/>
      <c r="Q199" s="2">
        <f t="shared" si="5"/>
        <v>0</v>
      </c>
    </row>
    <row r="200" spans="3:17" x14ac:dyDescent="0.25">
      <c r="C200" t="s">
        <v>512</v>
      </c>
      <c r="D200" t="s">
        <v>141</v>
      </c>
      <c r="E200" s="10">
        <v>1569437727</v>
      </c>
      <c r="F200" t="s">
        <v>35</v>
      </c>
      <c r="G200" t="s">
        <v>515</v>
      </c>
      <c r="H200" s="14">
        <v>1</v>
      </c>
      <c r="I200" s="10" t="s">
        <v>28</v>
      </c>
      <c r="J200" s="1">
        <v>45568</v>
      </c>
      <c r="K200" s="1">
        <v>45599</v>
      </c>
      <c r="L200" s="25">
        <f ca="1">CLIENTES[[#This Row],[Fecha Vencimiento]]-$J$6</f>
        <v>4</v>
      </c>
      <c r="N200" s="1" t="str">
        <f t="shared" ref="N200:N263" ca="1" si="6">IF(L200&lt;0,"Vencido",IF(L200=0,"Vence hoy",IF(L200&lt;4,"Por vencer","Al dia")))</f>
        <v>Al dia</v>
      </c>
      <c r="O200" s="19">
        <v>45568</v>
      </c>
      <c r="P200" s="2"/>
      <c r="Q200" s="2">
        <f t="shared" ref="Q200:Q263" si="7">P200-O200</f>
        <v>-45568</v>
      </c>
    </row>
    <row r="201" spans="3:17" x14ac:dyDescent="0.25">
      <c r="C201" t="s">
        <v>512</v>
      </c>
      <c r="D201" t="s">
        <v>141</v>
      </c>
      <c r="E201" s="10">
        <v>1162905937</v>
      </c>
      <c r="F201" t="s">
        <v>35</v>
      </c>
      <c r="G201" t="s">
        <v>516</v>
      </c>
      <c r="H201" s="14">
        <v>1</v>
      </c>
      <c r="I201" s="10" t="s">
        <v>28</v>
      </c>
      <c r="J201" s="1">
        <v>45568</v>
      </c>
      <c r="K201" s="1">
        <v>45599</v>
      </c>
      <c r="L201" s="25">
        <f ca="1">CLIENTES[[#This Row],[Fecha Vencimiento]]-$J$6</f>
        <v>4</v>
      </c>
      <c r="N201" s="1" t="str">
        <f t="shared" ca="1" si="6"/>
        <v>Al dia</v>
      </c>
      <c r="O201" s="19">
        <v>45568</v>
      </c>
      <c r="P201" s="2"/>
      <c r="Q201" s="2">
        <f t="shared" si="7"/>
        <v>-45568</v>
      </c>
    </row>
    <row r="202" spans="3:17" x14ac:dyDescent="0.25">
      <c r="C202" s="13" t="s">
        <v>517</v>
      </c>
      <c r="D202" s="13" t="s">
        <v>518</v>
      </c>
      <c r="E202" s="10">
        <v>1141622851</v>
      </c>
      <c r="F202" t="s">
        <v>35</v>
      </c>
      <c r="G202" t="s">
        <v>519</v>
      </c>
      <c r="H202" s="14">
        <v>1</v>
      </c>
      <c r="I202" s="10" t="s">
        <v>28</v>
      </c>
      <c r="J202" s="1">
        <v>45561</v>
      </c>
      <c r="K202" s="1">
        <v>45591</v>
      </c>
      <c r="L202" s="25">
        <f ca="1">CLIENTES[[#This Row],[Fecha Vencimiento]]-$J$6</f>
        <v>-4</v>
      </c>
      <c r="N202" s="1" t="str">
        <f t="shared" ca="1" si="6"/>
        <v>Vencido</v>
      </c>
      <c r="O202" s="19">
        <v>45561</v>
      </c>
      <c r="P202" s="2"/>
      <c r="Q202" s="2">
        <f t="shared" si="7"/>
        <v>-45561</v>
      </c>
    </row>
    <row r="203" spans="3:17" x14ac:dyDescent="0.25">
      <c r="C203" s="13" t="s">
        <v>520</v>
      </c>
      <c r="D203" s="13" t="s">
        <v>521</v>
      </c>
      <c r="E203" s="10">
        <v>1162002055</v>
      </c>
      <c r="F203" t="s">
        <v>35</v>
      </c>
      <c r="G203" t="s">
        <v>522</v>
      </c>
      <c r="H203" s="14">
        <v>3</v>
      </c>
      <c r="I203" s="10" t="s">
        <v>28</v>
      </c>
      <c r="J203" s="1">
        <v>45587</v>
      </c>
      <c r="K203" s="1">
        <v>45616</v>
      </c>
      <c r="L203" s="25">
        <f ca="1">CLIENTES[[#This Row],[Fecha Vencimiento]]-$J$6</f>
        <v>21</v>
      </c>
      <c r="N203" s="1" t="str">
        <f t="shared" ca="1" si="6"/>
        <v>Al dia</v>
      </c>
      <c r="O203" s="19"/>
      <c r="P203" s="2"/>
      <c r="Q203" s="2">
        <f t="shared" si="7"/>
        <v>0</v>
      </c>
    </row>
    <row r="204" spans="3:17" x14ac:dyDescent="0.25">
      <c r="C204" s="13" t="s">
        <v>523</v>
      </c>
      <c r="D204" s="13" t="s">
        <v>524</v>
      </c>
      <c r="E204" s="10">
        <v>1157035463</v>
      </c>
      <c r="F204" t="s">
        <v>35</v>
      </c>
      <c r="G204" t="s">
        <v>525</v>
      </c>
      <c r="H204" s="14">
        <v>5</v>
      </c>
      <c r="I204" s="10" t="s">
        <v>28</v>
      </c>
      <c r="J204" s="1">
        <v>45584</v>
      </c>
      <c r="K204" s="1">
        <v>45610</v>
      </c>
      <c r="L204" s="25">
        <f ca="1">CLIENTES[[#This Row],[Fecha Vencimiento]]-$J$6</f>
        <v>15</v>
      </c>
      <c r="N204" s="1" t="str">
        <f t="shared" ca="1" si="6"/>
        <v>Al dia</v>
      </c>
      <c r="O204" s="19"/>
      <c r="P204" s="2"/>
      <c r="Q204" s="2">
        <f t="shared" si="7"/>
        <v>0</v>
      </c>
    </row>
    <row r="205" spans="3:17" x14ac:dyDescent="0.25">
      <c r="C205" s="13" t="s">
        <v>526</v>
      </c>
      <c r="D205" s="13" t="s">
        <v>141</v>
      </c>
      <c r="E205" s="10">
        <v>1135544510</v>
      </c>
      <c r="F205" t="s">
        <v>35</v>
      </c>
      <c r="G205" t="s">
        <v>527</v>
      </c>
      <c r="H205" s="14">
        <v>2</v>
      </c>
      <c r="I205" s="10" t="s">
        <v>28</v>
      </c>
      <c r="J205" s="1">
        <v>45590</v>
      </c>
      <c r="K205" s="1">
        <v>45670</v>
      </c>
      <c r="N205" s="1" t="str">
        <f t="shared" si="6"/>
        <v>Vence hoy</v>
      </c>
      <c r="O205" s="19">
        <v>45548</v>
      </c>
      <c r="P205" s="2"/>
      <c r="Q205" s="2">
        <f t="shared" si="7"/>
        <v>-45548</v>
      </c>
    </row>
    <row r="206" spans="3:17" x14ac:dyDescent="0.25">
      <c r="C206" s="13" t="s">
        <v>528</v>
      </c>
      <c r="D206" s="13" t="s">
        <v>529</v>
      </c>
      <c r="F206" t="s">
        <v>35</v>
      </c>
      <c r="G206" t="s">
        <v>530</v>
      </c>
      <c r="I206" s="10" t="s">
        <v>28</v>
      </c>
      <c r="J206" s="1">
        <v>45471</v>
      </c>
      <c r="K206" s="1">
        <v>45464</v>
      </c>
      <c r="L206" s="25">
        <f ca="1">CLIENTES[[#This Row],[Fecha Vencimiento]]-$J$6</f>
        <v>-131</v>
      </c>
      <c r="N206" s="1" t="str">
        <f t="shared" ca="1" si="6"/>
        <v>Vencido</v>
      </c>
      <c r="O206" s="19"/>
      <c r="P206" s="2"/>
      <c r="Q206" s="2">
        <f t="shared" si="7"/>
        <v>0</v>
      </c>
    </row>
    <row r="207" spans="3:17" x14ac:dyDescent="0.25">
      <c r="C207" s="13" t="s">
        <v>531</v>
      </c>
      <c r="D207" s="13" t="s">
        <v>532</v>
      </c>
      <c r="F207" t="s">
        <v>35</v>
      </c>
      <c r="G207" t="s">
        <v>533</v>
      </c>
      <c r="I207" s="10" t="s">
        <v>28</v>
      </c>
      <c r="J207" s="1">
        <v>45451</v>
      </c>
      <c r="K207" s="1">
        <v>45481</v>
      </c>
      <c r="L207" s="25">
        <f ca="1">CLIENTES[[#This Row],[Fecha Vencimiento]]-$J$6</f>
        <v>-114</v>
      </c>
      <c r="N207" s="1" t="str">
        <f t="shared" ca="1" si="6"/>
        <v>Vencido</v>
      </c>
      <c r="O207" s="19"/>
      <c r="P207" s="2"/>
      <c r="Q207" s="2">
        <f t="shared" si="7"/>
        <v>0</v>
      </c>
    </row>
    <row r="208" spans="3:17" x14ac:dyDescent="0.25">
      <c r="C208" s="13" t="s">
        <v>534</v>
      </c>
      <c r="D208" s="13" t="s">
        <v>535</v>
      </c>
      <c r="E208" s="10">
        <v>1125331949</v>
      </c>
      <c r="F208" t="s">
        <v>35</v>
      </c>
      <c r="G208" t="s">
        <v>536</v>
      </c>
      <c r="H208" s="14">
        <v>2</v>
      </c>
      <c r="I208" s="10" t="s">
        <v>28</v>
      </c>
      <c r="J208" s="1">
        <v>45533</v>
      </c>
      <c r="K208" s="1">
        <v>45557</v>
      </c>
      <c r="L208" s="25">
        <f ca="1">CLIENTES[[#This Row],[Fecha Vencimiento]]-$J$6</f>
        <v>-38</v>
      </c>
      <c r="N208" s="1" t="str">
        <f t="shared" ca="1" si="6"/>
        <v>Vencido</v>
      </c>
      <c r="O208" s="19"/>
      <c r="P208" s="2"/>
      <c r="Q208" s="2">
        <f t="shared" si="7"/>
        <v>0</v>
      </c>
    </row>
    <row r="209" spans="3:17" x14ac:dyDescent="0.25">
      <c r="C209" s="13" t="s">
        <v>537</v>
      </c>
      <c r="D209" s="13" t="s">
        <v>538</v>
      </c>
      <c r="E209" s="10">
        <v>1122607454</v>
      </c>
      <c r="F209" t="s">
        <v>35</v>
      </c>
      <c r="G209" t="s">
        <v>539</v>
      </c>
      <c r="H209" s="14">
        <v>1</v>
      </c>
      <c r="I209" s="10" t="s">
        <v>28</v>
      </c>
      <c r="J209" s="1">
        <v>45528</v>
      </c>
      <c r="K209" s="1">
        <v>45559</v>
      </c>
      <c r="L209" s="25">
        <f ca="1">CLIENTES[[#This Row],[Fecha Vencimiento]]-$J$6</f>
        <v>-36</v>
      </c>
      <c r="N209" s="1" t="str">
        <f t="shared" ca="1" si="6"/>
        <v>Vencido</v>
      </c>
      <c r="O209" s="19"/>
      <c r="P209" s="2"/>
      <c r="Q209" s="2">
        <f t="shared" si="7"/>
        <v>0</v>
      </c>
    </row>
    <row r="210" spans="3:17" x14ac:dyDescent="0.25">
      <c r="C210" s="13" t="s">
        <v>540</v>
      </c>
      <c r="D210" s="13" t="s">
        <v>541</v>
      </c>
      <c r="E210" s="10" t="s">
        <v>2931</v>
      </c>
      <c r="F210" t="s">
        <v>35</v>
      </c>
      <c r="G210" t="s">
        <v>542</v>
      </c>
      <c r="H210" s="14">
        <v>3</v>
      </c>
      <c r="I210" s="10" t="s">
        <v>28</v>
      </c>
      <c r="J210" s="1">
        <v>45580</v>
      </c>
      <c r="K210" s="1">
        <v>45611</v>
      </c>
      <c r="L210" s="25">
        <f ca="1">CLIENTES[[#This Row],[Fecha Vencimiento]]-$J$6</f>
        <v>16</v>
      </c>
      <c r="N210" s="1" t="str">
        <f t="shared" ca="1" si="6"/>
        <v>Al dia</v>
      </c>
      <c r="O210" s="19"/>
      <c r="P210" s="2"/>
      <c r="Q210" s="2">
        <f t="shared" si="7"/>
        <v>0</v>
      </c>
    </row>
    <row r="211" spans="3:17" x14ac:dyDescent="0.25">
      <c r="C211" s="13" t="s">
        <v>540</v>
      </c>
      <c r="D211" s="13" t="s">
        <v>543</v>
      </c>
      <c r="E211" s="10">
        <v>1133745050</v>
      </c>
      <c r="F211" t="s">
        <v>35</v>
      </c>
      <c r="G211" t="s">
        <v>544</v>
      </c>
      <c r="H211" s="14">
        <v>2</v>
      </c>
      <c r="I211" s="10" t="s">
        <v>28</v>
      </c>
      <c r="J211" s="1">
        <v>45582</v>
      </c>
      <c r="K211" s="1">
        <v>45606</v>
      </c>
      <c r="L211" s="25">
        <f ca="1">CLIENTES[[#This Row],[Fecha Vencimiento]]-$J$6</f>
        <v>11</v>
      </c>
      <c r="N211" s="1" t="str">
        <f t="shared" ca="1" si="6"/>
        <v>Al dia</v>
      </c>
      <c r="O211" s="19">
        <v>45545</v>
      </c>
      <c r="P211" s="2"/>
      <c r="Q211" s="2">
        <f t="shared" si="7"/>
        <v>-45545</v>
      </c>
    </row>
    <row r="212" spans="3:17" x14ac:dyDescent="0.25">
      <c r="C212" s="13" t="s">
        <v>540</v>
      </c>
      <c r="D212" s="13" t="s">
        <v>543</v>
      </c>
      <c r="E212" s="10">
        <v>1133745050</v>
      </c>
      <c r="F212" t="s">
        <v>35</v>
      </c>
      <c r="G212" t="s">
        <v>545</v>
      </c>
      <c r="H212" s="14">
        <v>2</v>
      </c>
      <c r="I212" s="10" t="s">
        <v>28</v>
      </c>
      <c r="J212" s="1">
        <v>45563</v>
      </c>
      <c r="K212" s="1">
        <v>45594</v>
      </c>
      <c r="L212" s="25">
        <f ca="1">CLIENTES[[#This Row],[Fecha Vencimiento]]-$J$6</f>
        <v>-1</v>
      </c>
      <c r="N212" s="1" t="str">
        <f t="shared" ca="1" si="6"/>
        <v>Vencido</v>
      </c>
      <c r="O212" s="19">
        <v>45533</v>
      </c>
      <c r="P212" s="2"/>
      <c r="Q212" s="2">
        <f t="shared" si="7"/>
        <v>-45533</v>
      </c>
    </row>
    <row r="213" spans="3:17" x14ac:dyDescent="0.25">
      <c r="C213" s="13" t="s">
        <v>546</v>
      </c>
      <c r="D213" s="13" t="s">
        <v>547</v>
      </c>
      <c r="E213" s="10" t="s">
        <v>2931</v>
      </c>
      <c r="F213" t="s">
        <v>35</v>
      </c>
      <c r="G213" t="s">
        <v>548</v>
      </c>
      <c r="H213" s="14">
        <v>4</v>
      </c>
      <c r="I213" s="10" t="s">
        <v>28</v>
      </c>
      <c r="J213" s="1">
        <v>45558</v>
      </c>
      <c r="K213" s="1">
        <v>45592</v>
      </c>
      <c r="L213" s="25">
        <f ca="1">CLIENTES[[#This Row],[Fecha Vencimiento]]-$J$6</f>
        <v>-3</v>
      </c>
      <c r="N213" s="1" t="str">
        <f t="shared" ca="1" si="6"/>
        <v>Vencido</v>
      </c>
      <c r="O213" s="19"/>
      <c r="P213" s="2"/>
      <c r="Q213" s="2">
        <f t="shared" si="7"/>
        <v>0</v>
      </c>
    </row>
    <row r="214" spans="3:17" x14ac:dyDescent="0.25">
      <c r="C214" s="13" t="s">
        <v>549</v>
      </c>
      <c r="D214" s="13" t="s">
        <v>550</v>
      </c>
      <c r="E214" s="10">
        <v>1136897181</v>
      </c>
      <c r="F214" t="s">
        <v>35</v>
      </c>
      <c r="G214" t="s">
        <v>551</v>
      </c>
      <c r="H214" s="14">
        <v>4</v>
      </c>
      <c r="I214" s="10" t="s">
        <v>28</v>
      </c>
      <c r="J214" s="1">
        <v>45568</v>
      </c>
      <c r="K214" s="1">
        <v>45598</v>
      </c>
      <c r="L214" s="25">
        <f ca="1">CLIENTES[[#This Row],[Fecha Vencimiento]]-$J$6</f>
        <v>3</v>
      </c>
      <c r="N214" s="1" t="str">
        <f t="shared" ca="1" si="6"/>
        <v>Por vencer</v>
      </c>
      <c r="O214" s="19"/>
      <c r="P214" s="2"/>
      <c r="Q214" s="2">
        <f t="shared" si="7"/>
        <v>0</v>
      </c>
    </row>
    <row r="215" spans="3:17" x14ac:dyDescent="0.25">
      <c r="C215" s="13" t="s">
        <v>549</v>
      </c>
      <c r="D215" s="13" t="s">
        <v>214</v>
      </c>
      <c r="E215" s="10">
        <v>1164304559</v>
      </c>
      <c r="F215" t="s">
        <v>35</v>
      </c>
      <c r="G215" t="s">
        <v>552</v>
      </c>
      <c r="H215" s="14">
        <v>6</v>
      </c>
      <c r="I215" s="10" t="s">
        <v>28</v>
      </c>
      <c r="J215" s="1">
        <v>45558</v>
      </c>
      <c r="K215" s="1">
        <v>45587</v>
      </c>
      <c r="L215" s="25">
        <f ca="1">CLIENTES[[#This Row],[Fecha Vencimiento]]-$J$6</f>
        <v>-8</v>
      </c>
      <c r="N215" s="1" t="str">
        <f t="shared" ca="1" si="6"/>
        <v>Vencido</v>
      </c>
      <c r="O215" s="19"/>
      <c r="P215" s="2"/>
      <c r="Q215" s="2">
        <f t="shared" si="7"/>
        <v>0</v>
      </c>
    </row>
    <row r="216" spans="3:17" x14ac:dyDescent="0.25">
      <c r="C216" s="13" t="s">
        <v>549</v>
      </c>
      <c r="D216" s="13" t="s">
        <v>553</v>
      </c>
      <c r="F216" t="s">
        <v>77</v>
      </c>
      <c r="G216" t="s">
        <v>554</v>
      </c>
      <c r="H216" s="14">
        <v>2</v>
      </c>
      <c r="I216" s="10" t="s">
        <v>79</v>
      </c>
      <c r="J216" s="1">
        <v>45456</v>
      </c>
      <c r="K216" s="1">
        <v>45453</v>
      </c>
      <c r="L216" s="25">
        <f ca="1">CLIENTES[[#This Row],[Fecha Vencimiento]]-$J$6</f>
        <v>-142</v>
      </c>
      <c r="N216" s="1" t="str">
        <f t="shared" ca="1" si="6"/>
        <v>Vencido</v>
      </c>
      <c r="O216" s="19"/>
      <c r="P216" s="2"/>
      <c r="Q216" s="2">
        <f t="shared" si="7"/>
        <v>0</v>
      </c>
    </row>
    <row r="217" spans="3:17" x14ac:dyDescent="0.25">
      <c r="C217" s="13" t="s">
        <v>549</v>
      </c>
      <c r="D217" s="13" t="s">
        <v>555</v>
      </c>
      <c r="E217" s="10">
        <v>1168833123</v>
      </c>
      <c r="F217" t="s">
        <v>35</v>
      </c>
      <c r="G217" t="s">
        <v>556</v>
      </c>
      <c r="H217" s="14">
        <v>5</v>
      </c>
      <c r="I217" s="10" t="s">
        <v>28</v>
      </c>
      <c r="J217" s="1">
        <v>45539</v>
      </c>
      <c r="K217" s="1">
        <v>45562</v>
      </c>
      <c r="L217" s="25">
        <f ca="1">CLIENTES[[#This Row],[Fecha Vencimiento]]-$J$6</f>
        <v>-33</v>
      </c>
      <c r="N217" s="1" t="str">
        <f t="shared" ca="1" si="6"/>
        <v>Vencido</v>
      </c>
      <c r="O217" s="19"/>
      <c r="P217" s="2"/>
      <c r="Q217" s="2">
        <f t="shared" si="7"/>
        <v>0</v>
      </c>
    </row>
    <row r="218" spans="3:17" x14ac:dyDescent="0.25">
      <c r="C218" s="13" t="s">
        <v>557</v>
      </c>
      <c r="D218" s="13" t="s">
        <v>141</v>
      </c>
      <c r="E218" s="10">
        <v>1123231628</v>
      </c>
      <c r="F218" t="s">
        <v>35</v>
      </c>
      <c r="G218" t="s">
        <v>558</v>
      </c>
      <c r="H218" s="14">
        <v>2</v>
      </c>
      <c r="I218" s="10" t="s">
        <v>28</v>
      </c>
      <c r="J218" s="1">
        <v>45591</v>
      </c>
      <c r="K218" s="1">
        <v>45612</v>
      </c>
      <c r="L218" s="25">
        <f ca="1">CLIENTES[[#This Row],[Fecha Vencimiento]]-$J$6</f>
        <v>17</v>
      </c>
      <c r="N218" s="1" t="str">
        <f t="shared" ca="1" si="6"/>
        <v>Al dia</v>
      </c>
      <c r="O218" s="19">
        <v>45551</v>
      </c>
      <c r="P218" s="2"/>
      <c r="Q218" s="2">
        <f t="shared" si="7"/>
        <v>-45551</v>
      </c>
    </row>
    <row r="219" spans="3:17" x14ac:dyDescent="0.25">
      <c r="C219" s="13" t="s">
        <v>559</v>
      </c>
      <c r="D219" s="13" t="s">
        <v>560</v>
      </c>
      <c r="E219" s="10">
        <v>1124795175</v>
      </c>
      <c r="F219" t="s">
        <v>35</v>
      </c>
      <c r="G219" t="s">
        <v>561</v>
      </c>
      <c r="H219" s="14">
        <v>2</v>
      </c>
      <c r="I219" s="10" t="s">
        <v>28</v>
      </c>
      <c r="J219" s="1">
        <v>45579</v>
      </c>
      <c r="K219" s="1">
        <v>45609</v>
      </c>
      <c r="L219" s="25">
        <f ca="1">CLIENTES[[#This Row],[Fecha Vencimiento]]-$J$6</f>
        <v>14</v>
      </c>
      <c r="N219" s="1" t="str">
        <f t="shared" ca="1" si="6"/>
        <v>Al dia</v>
      </c>
      <c r="O219" s="19"/>
      <c r="P219" s="2"/>
      <c r="Q219" s="2">
        <f t="shared" si="7"/>
        <v>0</v>
      </c>
    </row>
    <row r="220" spans="3:17" x14ac:dyDescent="0.25">
      <c r="C220" s="13" t="s">
        <v>562</v>
      </c>
      <c r="D220" s="13" t="s">
        <v>563</v>
      </c>
      <c r="E220" s="10">
        <v>1133531421</v>
      </c>
      <c r="F220" t="s">
        <v>35</v>
      </c>
      <c r="G220" t="s">
        <v>564</v>
      </c>
      <c r="H220" s="14">
        <v>1</v>
      </c>
      <c r="I220" s="10" t="s">
        <v>28</v>
      </c>
      <c r="J220" s="1">
        <v>45581</v>
      </c>
      <c r="K220" s="1">
        <v>45613</v>
      </c>
      <c r="L220" s="25">
        <f ca="1">CLIENTES[[#This Row],[Fecha Vencimiento]]-$J$6</f>
        <v>18</v>
      </c>
      <c r="N220" s="1" t="str">
        <f t="shared" ca="1" si="6"/>
        <v>Al dia</v>
      </c>
      <c r="O220" s="19"/>
      <c r="P220" s="2"/>
      <c r="Q220" s="2">
        <f t="shared" si="7"/>
        <v>0</v>
      </c>
    </row>
    <row r="221" spans="3:17" x14ac:dyDescent="0.25">
      <c r="C221" s="13" t="s">
        <v>565</v>
      </c>
      <c r="D221" s="13" t="s">
        <v>566</v>
      </c>
      <c r="E221" s="28">
        <v>1150506799</v>
      </c>
      <c r="F221" t="s">
        <v>35</v>
      </c>
      <c r="G221" t="s">
        <v>567</v>
      </c>
      <c r="H221" s="14">
        <v>4</v>
      </c>
      <c r="I221" s="10" t="s">
        <v>28</v>
      </c>
      <c r="J221" s="1">
        <v>45593</v>
      </c>
      <c r="K221" s="1" t="s">
        <v>568</v>
      </c>
      <c r="L221" s="25" t="e">
        <f ca="1">CLIENTES[[#This Row],[Fecha Vencimiento]]-$J$6</f>
        <v>#VALUE!</v>
      </c>
      <c r="N221" s="1" t="e">
        <f t="shared" ca="1" si="6"/>
        <v>#VALUE!</v>
      </c>
      <c r="O221" s="19"/>
      <c r="P221" s="2"/>
      <c r="Q221" s="2">
        <f t="shared" si="7"/>
        <v>0</v>
      </c>
    </row>
    <row r="222" spans="3:17" x14ac:dyDescent="0.25">
      <c r="C222" s="13" t="s">
        <v>569</v>
      </c>
      <c r="D222" s="13" t="s">
        <v>570</v>
      </c>
      <c r="E222" s="29" t="s">
        <v>3112</v>
      </c>
      <c r="F222" t="s">
        <v>26</v>
      </c>
      <c r="G222" t="s">
        <v>571</v>
      </c>
      <c r="H222" s="14">
        <v>1</v>
      </c>
      <c r="I222" s="10" t="s">
        <v>28</v>
      </c>
      <c r="J222" s="1">
        <v>45573</v>
      </c>
      <c r="K222" s="1">
        <v>45604</v>
      </c>
      <c r="L222" s="25">
        <f ca="1">CLIENTES[[#This Row],[Fecha Vencimiento]]-$J$6</f>
        <v>9</v>
      </c>
      <c r="N222" s="1" t="str">
        <f t="shared" ca="1" si="6"/>
        <v>Al dia</v>
      </c>
      <c r="O222" s="19">
        <v>45573</v>
      </c>
      <c r="P222" s="2"/>
      <c r="Q222" s="2">
        <f t="shared" si="7"/>
        <v>-45573</v>
      </c>
    </row>
    <row r="223" spans="3:17" x14ac:dyDescent="0.25">
      <c r="C223" s="13" t="s">
        <v>569</v>
      </c>
      <c r="D223" s="13" t="s">
        <v>570</v>
      </c>
      <c r="E223" s="29">
        <v>1128608304</v>
      </c>
      <c r="F223" t="s">
        <v>26</v>
      </c>
      <c r="G223" t="s">
        <v>572</v>
      </c>
      <c r="H223" s="14">
        <v>1</v>
      </c>
      <c r="I223" s="10" t="s">
        <v>28</v>
      </c>
      <c r="J223" s="1">
        <v>45585</v>
      </c>
      <c r="K223" s="1">
        <v>45616</v>
      </c>
      <c r="L223" s="25">
        <f ca="1">CLIENTES[[#This Row],[Fecha Vencimiento]]-$J$6</f>
        <v>21</v>
      </c>
      <c r="N223" s="1" t="str">
        <f t="shared" ca="1" si="6"/>
        <v>Al dia</v>
      </c>
      <c r="O223" s="19">
        <v>45585</v>
      </c>
      <c r="P223" s="2"/>
      <c r="Q223" s="2">
        <f t="shared" si="7"/>
        <v>-45585</v>
      </c>
    </row>
    <row r="224" spans="3:17" x14ac:dyDescent="0.25">
      <c r="C224" s="13" t="s">
        <v>573</v>
      </c>
      <c r="D224" s="13" t="s">
        <v>574</v>
      </c>
      <c r="E224" s="10">
        <v>1154266709</v>
      </c>
      <c r="F224" t="s">
        <v>35</v>
      </c>
      <c r="G224" t="s">
        <v>575</v>
      </c>
      <c r="H224" s="14">
        <v>3</v>
      </c>
      <c r="I224" s="10" t="s">
        <v>28</v>
      </c>
      <c r="J224" s="1">
        <v>45574</v>
      </c>
      <c r="K224" s="1">
        <v>45605</v>
      </c>
      <c r="L224" s="25">
        <f ca="1">CLIENTES[[#This Row],[Fecha Vencimiento]]-$J$6</f>
        <v>10</v>
      </c>
      <c r="N224" s="1" t="str">
        <f t="shared" ca="1" si="6"/>
        <v>Al dia</v>
      </c>
      <c r="O224" s="19"/>
      <c r="P224" s="2"/>
      <c r="Q224" s="2">
        <f t="shared" si="7"/>
        <v>0</v>
      </c>
    </row>
    <row r="225" spans="3:17" x14ac:dyDescent="0.25">
      <c r="C225" s="13" t="s">
        <v>576</v>
      </c>
      <c r="D225" s="13" t="s">
        <v>577</v>
      </c>
      <c r="E225" s="10">
        <v>1163727201</v>
      </c>
      <c r="F225" t="s">
        <v>35</v>
      </c>
      <c r="G225" t="s">
        <v>578</v>
      </c>
      <c r="H225" s="14">
        <v>5</v>
      </c>
      <c r="I225" s="10" t="s">
        <v>28</v>
      </c>
      <c r="J225" s="1">
        <v>45569</v>
      </c>
      <c r="K225" s="1">
        <v>45600</v>
      </c>
      <c r="L225" s="25">
        <f ca="1">CLIENTES[[#This Row],[Fecha Vencimiento]]-$J$6</f>
        <v>5</v>
      </c>
      <c r="N225" s="1" t="str">
        <f t="shared" ca="1" si="6"/>
        <v>Al dia</v>
      </c>
      <c r="O225" s="19"/>
      <c r="P225" s="2"/>
      <c r="Q225" s="2">
        <f t="shared" si="7"/>
        <v>0</v>
      </c>
    </row>
    <row r="226" spans="3:17" x14ac:dyDescent="0.25">
      <c r="C226" s="13" t="s">
        <v>576</v>
      </c>
      <c r="D226" s="13" t="s">
        <v>579</v>
      </c>
      <c r="E226" s="10">
        <v>1159891890</v>
      </c>
      <c r="F226" t="s">
        <v>35</v>
      </c>
      <c r="G226" t="s">
        <v>580</v>
      </c>
      <c r="H226" s="14">
        <v>3</v>
      </c>
      <c r="I226" s="10" t="s">
        <v>28</v>
      </c>
      <c r="J226" s="1">
        <v>45583</v>
      </c>
      <c r="K226" s="1">
        <v>45615</v>
      </c>
      <c r="L226" s="25">
        <f ca="1">CLIENTES[[#This Row],[Fecha Vencimiento]]-$J$6</f>
        <v>20</v>
      </c>
      <c r="N226" s="1" t="str">
        <f t="shared" ca="1" si="6"/>
        <v>Al dia</v>
      </c>
      <c r="O226" s="19"/>
      <c r="P226" s="2"/>
      <c r="Q226" s="2">
        <f t="shared" si="7"/>
        <v>0</v>
      </c>
    </row>
    <row r="227" spans="3:17" x14ac:dyDescent="0.25">
      <c r="C227" s="13" t="s">
        <v>581</v>
      </c>
      <c r="D227" s="13" t="s">
        <v>582</v>
      </c>
      <c r="E227" s="10">
        <v>1132489119</v>
      </c>
      <c r="F227" t="s">
        <v>35</v>
      </c>
      <c r="G227" t="s">
        <v>583</v>
      </c>
      <c r="H227" s="14">
        <v>2</v>
      </c>
      <c r="I227" s="10" t="s">
        <v>28</v>
      </c>
      <c r="J227" s="1">
        <v>45535</v>
      </c>
      <c r="K227" s="1">
        <v>45548</v>
      </c>
      <c r="L227" s="25">
        <f ca="1">CLIENTES[[#This Row],[Fecha Vencimiento]]-$J$6</f>
        <v>-47</v>
      </c>
      <c r="N227" s="1" t="str">
        <f t="shared" ca="1" si="6"/>
        <v>Vencido</v>
      </c>
      <c r="O227" s="19"/>
      <c r="P227" s="2"/>
      <c r="Q227" s="2">
        <f t="shared" si="7"/>
        <v>0</v>
      </c>
    </row>
    <row r="228" spans="3:17" x14ac:dyDescent="0.25">
      <c r="C228" s="13" t="s">
        <v>584</v>
      </c>
      <c r="D228" s="13" t="s">
        <v>585</v>
      </c>
      <c r="E228" s="10">
        <v>1125758118</v>
      </c>
      <c r="F228" t="s">
        <v>232</v>
      </c>
      <c r="G228" t="s">
        <v>586</v>
      </c>
      <c r="H228" s="14">
        <v>3</v>
      </c>
      <c r="I228" s="10" t="s">
        <v>183</v>
      </c>
      <c r="J228" s="1">
        <v>45574</v>
      </c>
      <c r="K228" s="1">
        <v>45599</v>
      </c>
      <c r="L228" s="25">
        <f ca="1">CLIENTES[[#This Row],[Fecha Vencimiento]]-$J$6</f>
        <v>4</v>
      </c>
      <c r="N228" s="1" t="str">
        <f t="shared" ca="1" si="6"/>
        <v>Al dia</v>
      </c>
      <c r="O228" s="19">
        <v>45507</v>
      </c>
      <c r="P228" s="2"/>
      <c r="Q228" s="2">
        <f t="shared" si="7"/>
        <v>-45507</v>
      </c>
    </row>
    <row r="229" spans="3:17" x14ac:dyDescent="0.25">
      <c r="C229" s="13" t="s">
        <v>587</v>
      </c>
      <c r="D229" s="13" t="s">
        <v>588</v>
      </c>
      <c r="E229" s="10">
        <v>1137825804</v>
      </c>
      <c r="F229" t="s">
        <v>26</v>
      </c>
      <c r="G229" t="s">
        <v>589</v>
      </c>
      <c r="H229" s="14">
        <v>1</v>
      </c>
      <c r="I229" s="10" t="s">
        <v>28</v>
      </c>
      <c r="J229" s="1">
        <v>45574</v>
      </c>
      <c r="K229" s="1">
        <v>45605</v>
      </c>
      <c r="L229" s="25">
        <f ca="1">CLIENTES[[#This Row],[Fecha Vencimiento]]-$J$6</f>
        <v>10</v>
      </c>
      <c r="N229" s="1" t="str">
        <f t="shared" ca="1" si="6"/>
        <v>Al dia</v>
      </c>
      <c r="O229" s="19">
        <v>45574</v>
      </c>
      <c r="P229" s="2"/>
      <c r="Q229" s="2">
        <f t="shared" si="7"/>
        <v>-45574</v>
      </c>
    </row>
    <row r="230" spans="3:17" x14ac:dyDescent="0.25">
      <c r="C230" s="13" t="s">
        <v>590</v>
      </c>
      <c r="D230" s="13" t="s">
        <v>591</v>
      </c>
      <c r="E230" s="10">
        <v>1161062071</v>
      </c>
      <c r="F230" t="s">
        <v>35</v>
      </c>
      <c r="G230" s="1" t="s">
        <v>592</v>
      </c>
      <c r="H230" s="14">
        <v>1</v>
      </c>
      <c r="I230" s="10" t="s">
        <v>28</v>
      </c>
      <c r="J230" s="1">
        <v>45555</v>
      </c>
      <c r="K230" s="1">
        <v>45585</v>
      </c>
      <c r="L230" s="25">
        <f ca="1">CLIENTES[[#This Row],[Fecha Vencimiento]]-$J$6</f>
        <v>-10</v>
      </c>
      <c r="N230" s="1" t="str">
        <f t="shared" ca="1" si="6"/>
        <v>Vencido</v>
      </c>
      <c r="O230" s="19"/>
      <c r="P230" s="2"/>
      <c r="Q230" s="2">
        <f t="shared" si="7"/>
        <v>0</v>
      </c>
    </row>
    <row r="231" spans="3:17" x14ac:dyDescent="0.25">
      <c r="C231" s="13" t="s">
        <v>593</v>
      </c>
      <c r="D231" s="13" t="s">
        <v>594</v>
      </c>
      <c r="F231" t="s">
        <v>35</v>
      </c>
      <c r="G231" t="s">
        <v>595</v>
      </c>
      <c r="I231" s="10" t="s">
        <v>28</v>
      </c>
      <c r="J231" s="1">
        <v>45465</v>
      </c>
      <c r="K231" s="1">
        <v>45495</v>
      </c>
      <c r="L231" s="25">
        <f ca="1">CLIENTES[[#This Row],[Fecha Vencimiento]]-$J$6</f>
        <v>-100</v>
      </c>
      <c r="N231" s="1" t="str">
        <f t="shared" ca="1" si="6"/>
        <v>Vencido</v>
      </c>
      <c r="O231" s="19"/>
      <c r="P231" s="2"/>
      <c r="Q231" s="2">
        <f t="shared" si="7"/>
        <v>0</v>
      </c>
    </row>
    <row r="232" spans="3:17" x14ac:dyDescent="0.25">
      <c r="C232" s="13" t="s">
        <v>593</v>
      </c>
      <c r="D232" s="13" t="s">
        <v>596</v>
      </c>
      <c r="E232" s="10" t="s">
        <v>2931</v>
      </c>
      <c r="F232" t="s">
        <v>35</v>
      </c>
      <c r="G232" t="s">
        <v>597</v>
      </c>
      <c r="H232" s="14">
        <v>1</v>
      </c>
      <c r="I232" s="10" t="s">
        <v>28</v>
      </c>
      <c r="J232" s="1">
        <v>45562</v>
      </c>
      <c r="K232" s="1">
        <v>45592</v>
      </c>
      <c r="L232" s="25">
        <f ca="1">CLIENTES[[#This Row],[Fecha Vencimiento]]-$J$6</f>
        <v>-3</v>
      </c>
      <c r="N232" s="1" t="str">
        <f t="shared" ca="1" si="6"/>
        <v>Vencido</v>
      </c>
      <c r="O232" s="19">
        <v>45562</v>
      </c>
      <c r="P232" s="2"/>
      <c r="Q232" s="2">
        <f t="shared" si="7"/>
        <v>-45562</v>
      </c>
    </row>
    <row r="233" spans="3:17" x14ac:dyDescent="0.25">
      <c r="C233" s="13" t="s">
        <v>598</v>
      </c>
      <c r="D233" s="13" t="s">
        <v>117</v>
      </c>
      <c r="F233" t="s">
        <v>35</v>
      </c>
      <c r="G233" t="s">
        <v>599</v>
      </c>
      <c r="I233" s="10" t="s">
        <v>28</v>
      </c>
      <c r="J233" s="1">
        <v>45485</v>
      </c>
      <c r="K233" s="1">
        <v>45516</v>
      </c>
      <c r="L233" s="25">
        <f ca="1">CLIENTES[[#This Row],[Fecha Vencimiento]]-$J$6</f>
        <v>-79</v>
      </c>
      <c r="N233" s="1" t="str">
        <f t="shared" ca="1" si="6"/>
        <v>Vencido</v>
      </c>
      <c r="O233" s="19"/>
      <c r="P233" s="2"/>
      <c r="Q233" s="2">
        <f t="shared" si="7"/>
        <v>0</v>
      </c>
    </row>
    <row r="234" spans="3:17" x14ac:dyDescent="0.25">
      <c r="C234" s="13" t="s">
        <v>600</v>
      </c>
      <c r="D234" s="13" t="s">
        <v>117</v>
      </c>
      <c r="E234" s="10">
        <v>1132799668</v>
      </c>
      <c r="F234" t="s">
        <v>232</v>
      </c>
      <c r="G234" t="s">
        <v>599</v>
      </c>
      <c r="H234" s="14">
        <v>4</v>
      </c>
      <c r="I234" s="10" t="s">
        <v>183</v>
      </c>
      <c r="J234" s="1">
        <v>45577</v>
      </c>
      <c r="K234" s="1">
        <v>45608</v>
      </c>
      <c r="L234" s="25">
        <f ca="1">CLIENTES[[#This Row],[Fecha Vencimiento]]-$J$6</f>
        <v>13</v>
      </c>
      <c r="N234" s="1" t="str">
        <f t="shared" ca="1" si="6"/>
        <v>Al dia</v>
      </c>
      <c r="O234" s="19"/>
      <c r="P234" s="2"/>
      <c r="Q234" s="2">
        <f t="shared" si="7"/>
        <v>0</v>
      </c>
    </row>
    <row r="235" spans="3:17" x14ac:dyDescent="0.25">
      <c r="C235" s="13" t="s">
        <v>601</v>
      </c>
      <c r="D235" s="13" t="s">
        <v>602</v>
      </c>
      <c r="E235" s="10">
        <v>1151650853</v>
      </c>
      <c r="F235" t="s">
        <v>35</v>
      </c>
      <c r="G235" t="s">
        <v>603</v>
      </c>
      <c r="H235" s="14">
        <v>7</v>
      </c>
      <c r="I235" s="10" t="s">
        <v>28</v>
      </c>
      <c r="J235" s="1">
        <v>45586</v>
      </c>
      <c r="K235" s="1">
        <v>45608</v>
      </c>
      <c r="L235" s="25">
        <f ca="1">CLIENTES[[#This Row],[Fecha Vencimiento]]-$J$6</f>
        <v>13</v>
      </c>
      <c r="N235" s="1" t="str">
        <f t="shared" ca="1" si="6"/>
        <v>Al dia</v>
      </c>
      <c r="O235" s="19"/>
      <c r="P235" s="2"/>
      <c r="Q235" s="2">
        <f t="shared" si="7"/>
        <v>0</v>
      </c>
    </row>
    <row r="236" spans="3:17" x14ac:dyDescent="0.25">
      <c r="C236" s="13" t="s">
        <v>601</v>
      </c>
      <c r="D236" s="13" t="s">
        <v>602</v>
      </c>
      <c r="E236" s="10">
        <v>1151650853</v>
      </c>
      <c r="F236" t="s">
        <v>35</v>
      </c>
      <c r="G236" t="s">
        <v>604</v>
      </c>
      <c r="H236" s="14">
        <v>2</v>
      </c>
      <c r="I236" s="10" t="s">
        <v>28</v>
      </c>
      <c r="J236" s="1">
        <v>45594</v>
      </c>
      <c r="K236" s="1">
        <v>45624</v>
      </c>
      <c r="L236" s="25">
        <f ca="1">CLIENTES[[#This Row],[Fecha Vencimiento]]-$J$6</f>
        <v>29</v>
      </c>
      <c r="N236" s="1" t="str">
        <f t="shared" ca="1" si="6"/>
        <v>Al dia</v>
      </c>
      <c r="O236" s="19">
        <v>45563</v>
      </c>
      <c r="P236" s="2"/>
      <c r="Q236" s="2">
        <f t="shared" si="7"/>
        <v>-45563</v>
      </c>
    </row>
    <row r="237" spans="3:17" x14ac:dyDescent="0.25">
      <c r="C237" s="13" t="s">
        <v>605</v>
      </c>
      <c r="D237" s="13" t="s">
        <v>606</v>
      </c>
      <c r="E237" s="10">
        <v>1162290949</v>
      </c>
      <c r="F237" t="s">
        <v>35</v>
      </c>
      <c r="G237" t="s">
        <v>607</v>
      </c>
      <c r="H237" s="14">
        <v>2</v>
      </c>
      <c r="I237" s="10" t="s">
        <v>28</v>
      </c>
      <c r="J237" s="1">
        <v>45563</v>
      </c>
      <c r="K237" s="1">
        <v>45592</v>
      </c>
      <c r="L237" s="25">
        <f ca="1">CLIENTES[[#This Row],[Fecha Vencimiento]]-$J$6</f>
        <v>-3</v>
      </c>
      <c r="N237" s="1" t="str">
        <f t="shared" ca="1" si="6"/>
        <v>Vencido</v>
      </c>
      <c r="O237" s="19"/>
      <c r="P237" s="2"/>
      <c r="Q237" s="2">
        <f t="shared" si="7"/>
        <v>0</v>
      </c>
    </row>
    <row r="238" spans="3:17" x14ac:dyDescent="0.25">
      <c r="C238" s="13" t="s">
        <v>608</v>
      </c>
      <c r="D238" s="13" t="s">
        <v>609</v>
      </c>
      <c r="E238" s="10">
        <v>1153052905</v>
      </c>
      <c r="F238" t="s">
        <v>35</v>
      </c>
      <c r="G238" t="s">
        <v>610</v>
      </c>
      <c r="H238" s="14">
        <v>4</v>
      </c>
      <c r="I238" s="10" t="s">
        <v>28</v>
      </c>
      <c r="J238" s="1">
        <v>45574</v>
      </c>
      <c r="K238" s="1">
        <v>45609</v>
      </c>
      <c r="L238" s="25">
        <f ca="1">CLIENTES[[#This Row],[Fecha Vencimiento]]-$J$6</f>
        <v>14</v>
      </c>
      <c r="N238" s="1" t="str">
        <f t="shared" ca="1" si="6"/>
        <v>Al dia</v>
      </c>
      <c r="O238" s="19"/>
      <c r="P238" s="2"/>
      <c r="Q238" s="2">
        <f t="shared" si="7"/>
        <v>0</v>
      </c>
    </row>
    <row r="239" spans="3:17" x14ac:dyDescent="0.25">
      <c r="C239" s="13" t="s">
        <v>605</v>
      </c>
      <c r="D239" s="13" t="s">
        <v>611</v>
      </c>
      <c r="E239" s="10" t="s">
        <v>3113</v>
      </c>
      <c r="F239" t="s">
        <v>35</v>
      </c>
      <c r="G239" t="s">
        <v>612</v>
      </c>
      <c r="H239" s="14">
        <v>4</v>
      </c>
      <c r="I239" s="10" t="s">
        <v>28</v>
      </c>
      <c r="J239" s="1">
        <v>45569</v>
      </c>
      <c r="K239" s="1">
        <v>45600</v>
      </c>
      <c r="L239" s="25">
        <f ca="1">CLIENTES[[#This Row],[Fecha Vencimiento]]-$J$6</f>
        <v>5</v>
      </c>
      <c r="N239" s="1" t="str">
        <f t="shared" ca="1" si="6"/>
        <v>Al dia</v>
      </c>
      <c r="O239" s="19"/>
      <c r="P239" s="2"/>
      <c r="Q239" s="2">
        <f t="shared" si="7"/>
        <v>0</v>
      </c>
    </row>
    <row r="240" spans="3:17" x14ac:dyDescent="0.25">
      <c r="C240" s="13" t="s">
        <v>605</v>
      </c>
      <c r="D240" s="13" t="s">
        <v>272</v>
      </c>
      <c r="E240" s="10" t="s">
        <v>3114</v>
      </c>
      <c r="F240" t="s">
        <v>35</v>
      </c>
      <c r="G240" t="s">
        <v>613</v>
      </c>
      <c r="H240" s="14">
        <v>5</v>
      </c>
      <c r="I240" s="10" t="s">
        <v>28</v>
      </c>
      <c r="J240" s="1">
        <v>45555</v>
      </c>
      <c r="K240" s="1">
        <v>45585</v>
      </c>
      <c r="L240" s="25">
        <f ca="1">CLIENTES[[#This Row],[Fecha Vencimiento]]-$J$6</f>
        <v>-10</v>
      </c>
      <c r="N240" s="1" t="str">
        <f t="shared" ca="1" si="6"/>
        <v>Vencido</v>
      </c>
      <c r="O240" s="19"/>
      <c r="P240" s="2"/>
      <c r="Q240" s="2">
        <f t="shared" si="7"/>
        <v>0</v>
      </c>
    </row>
    <row r="241" spans="3:17" x14ac:dyDescent="0.25">
      <c r="C241" s="13" t="s">
        <v>614</v>
      </c>
      <c r="D241" s="13" t="s">
        <v>615</v>
      </c>
      <c r="F241" t="s">
        <v>35</v>
      </c>
      <c r="G241" t="s">
        <v>616</v>
      </c>
      <c r="H241" s="14">
        <v>2</v>
      </c>
      <c r="I241" s="10" t="s">
        <v>28</v>
      </c>
      <c r="J241" s="1">
        <v>45568</v>
      </c>
      <c r="K241" s="1">
        <v>45609</v>
      </c>
      <c r="L241" s="25">
        <f ca="1">CLIENTES[[#This Row],[Fecha Vencimiento]]-$J$6</f>
        <v>14</v>
      </c>
      <c r="N241" s="1" t="str">
        <f t="shared" ca="1" si="6"/>
        <v>Al dia</v>
      </c>
      <c r="O241" s="19"/>
      <c r="P241" s="2"/>
      <c r="Q241" s="2">
        <f t="shared" si="7"/>
        <v>0</v>
      </c>
    </row>
    <row r="242" spans="3:17" x14ac:dyDescent="0.25">
      <c r="C242" s="13" t="s">
        <v>617</v>
      </c>
      <c r="D242" s="13" t="s">
        <v>618</v>
      </c>
      <c r="E242" s="10">
        <v>1168598589</v>
      </c>
      <c r="F242" t="s">
        <v>259</v>
      </c>
      <c r="G242" t="s">
        <v>619</v>
      </c>
      <c r="H242" s="14">
        <v>3</v>
      </c>
      <c r="I242" s="10" t="s">
        <v>75</v>
      </c>
      <c r="J242" s="1">
        <v>45588</v>
      </c>
      <c r="K242" s="1">
        <v>45621</v>
      </c>
      <c r="L242" s="25">
        <f ca="1">CLIENTES[[#This Row],[Fecha Vencimiento]]-$J$6</f>
        <v>26</v>
      </c>
      <c r="N242" s="1" t="str">
        <f t="shared" ca="1" si="6"/>
        <v>Al dia</v>
      </c>
      <c r="O242" s="19"/>
      <c r="P242" s="2"/>
      <c r="Q242" s="2">
        <f t="shared" si="7"/>
        <v>0</v>
      </c>
    </row>
    <row r="243" spans="3:17" x14ac:dyDescent="0.25">
      <c r="C243" s="13" t="s">
        <v>617</v>
      </c>
      <c r="D243" s="13" t="s">
        <v>117</v>
      </c>
      <c r="E243" s="10" t="s">
        <v>2931</v>
      </c>
      <c r="F243" t="s">
        <v>35</v>
      </c>
      <c r="G243" t="s">
        <v>620</v>
      </c>
      <c r="H243" s="14">
        <v>5</v>
      </c>
      <c r="I243" s="10" t="s">
        <v>28</v>
      </c>
      <c r="J243" s="1">
        <v>45581</v>
      </c>
      <c r="K243" s="1">
        <v>45615</v>
      </c>
      <c r="L243" s="25">
        <f ca="1">CLIENTES[[#This Row],[Fecha Vencimiento]]-$J$6</f>
        <v>20</v>
      </c>
      <c r="N243" s="1" t="str">
        <f t="shared" ca="1" si="6"/>
        <v>Al dia</v>
      </c>
      <c r="O243" s="19"/>
      <c r="P243" s="2"/>
      <c r="Q243" s="2">
        <f t="shared" si="7"/>
        <v>0</v>
      </c>
    </row>
    <row r="244" spans="3:17" x14ac:dyDescent="0.25">
      <c r="C244" s="13" t="s">
        <v>617</v>
      </c>
      <c r="D244" s="13" t="s">
        <v>618</v>
      </c>
      <c r="E244" s="10">
        <v>1168598589</v>
      </c>
      <c r="F244" t="s">
        <v>77</v>
      </c>
      <c r="G244" t="s">
        <v>621</v>
      </c>
      <c r="H244" s="14">
        <v>4</v>
      </c>
      <c r="I244" s="10" t="s">
        <v>79</v>
      </c>
      <c r="J244" s="1">
        <v>45588</v>
      </c>
      <c r="K244" s="1">
        <v>45626</v>
      </c>
      <c r="L244" s="25">
        <f ca="1">CLIENTES[[#This Row],[Fecha Vencimiento]]-$J$6</f>
        <v>31</v>
      </c>
      <c r="N244" s="1" t="str">
        <f t="shared" ca="1" si="6"/>
        <v>Al dia</v>
      </c>
      <c r="O244" s="19"/>
      <c r="P244" s="2"/>
      <c r="Q244" s="2">
        <f t="shared" si="7"/>
        <v>0</v>
      </c>
    </row>
    <row r="245" spans="3:17" x14ac:dyDescent="0.25">
      <c r="C245" s="13" t="s">
        <v>617</v>
      </c>
      <c r="D245" s="13" t="s">
        <v>622</v>
      </c>
      <c r="E245" s="10">
        <v>1122825958</v>
      </c>
      <c r="F245" t="s">
        <v>35</v>
      </c>
      <c r="G245" t="s">
        <v>623</v>
      </c>
      <c r="H245" s="14">
        <v>6</v>
      </c>
      <c r="I245" s="10" t="s">
        <v>28</v>
      </c>
      <c r="J245" s="1">
        <v>45579</v>
      </c>
      <c r="K245" s="1">
        <v>45609</v>
      </c>
      <c r="L245" s="25">
        <f ca="1">CLIENTES[[#This Row],[Fecha Vencimiento]]-$J$6</f>
        <v>14</v>
      </c>
      <c r="N245" s="1" t="str">
        <f t="shared" ca="1" si="6"/>
        <v>Al dia</v>
      </c>
      <c r="O245" s="19"/>
      <c r="P245" s="2"/>
      <c r="Q245" s="2">
        <f t="shared" si="7"/>
        <v>0</v>
      </c>
    </row>
    <row r="246" spans="3:17" x14ac:dyDescent="0.25">
      <c r="C246" s="13" t="s">
        <v>624</v>
      </c>
      <c r="D246" s="13" t="s">
        <v>625</v>
      </c>
      <c r="E246" s="10" t="s">
        <v>2931</v>
      </c>
      <c r="F246" t="s">
        <v>35</v>
      </c>
      <c r="G246" t="s">
        <v>626</v>
      </c>
      <c r="H246" s="14">
        <v>5</v>
      </c>
      <c r="I246" s="10" t="s">
        <v>28</v>
      </c>
      <c r="J246" s="1">
        <v>45583</v>
      </c>
      <c r="K246" s="1">
        <v>45615</v>
      </c>
      <c r="L246" s="25">
        <f ca="1">CLIENTES[[#This Row],[Fecha Vencimiento]]-$J$6</f>
        <v>20</v>
      </c>
      <c r="N246" s="1" t="str">
        <f t="shared" ca="1" si="6"/>
        <v>Al dia</v>
      </c>
      <c r="O246" s="19"/>
      <c r="P246" s="2"/>
      <c r="Q246" s="2">
        <f t="shared" si="7"/>
        <v>0</v>
      </c>
    </row>
    <row r="247" spans="3:17" x14ac:dyDescent="0.25">
      <c r="C247" s="13" t="s">
        <v>627</v>
      </c>
      <c r="D247" s="13" t="s">
        <v>628</v>
      </c>
      <c r="F247" t="s">
        <v>35</v>
      </c>
      <c r="G247" t="s">
        <v>629</v>
      </c>
      <c r="I247" s="10" t="s">
        <v>28</v>
      </c>
      <c r="J247" s="1">
        <v>45485</v>
      </c>
      <c r="K247" s="1">
        <v>45516</v>
      </c>
      <c r="L247" s="25">
        <f ca="1">CLIENTES[[#This Row],[Fecha Vencimiento]]-$J$6</f>
        <v>-79</v>
      </c>
      <c r="N247" s="1" t="str">
        <f t="shared" ca="1" si="6"/>
        <v>Vencido</v>
      </c>
      <c r="O247" s="19"/>
      <c r="P247" s="2"/>
      <c r="Q247" s="2">
        <f t="shared" si="7"/>
        <v>0</v>
      </c>
    </row>
    <row r="248" spans="3:17" x14ac:dyDescent="0.25">
      <c r="C248" s="13" t="s">
        <v>627</v>
      </c>
      <c r="D248" s="13" t="s">
        <v>628</v>
      </c>
      <c r="F248" t="s">
        <v>35</v>
      </c>
      <c r="G248" t="s">
        <v>630</v>
      </c>
      <c r="I248" s="10" t="s">
        <v>28</v>
      </c>
      <c r="J248" s="1">
        <v>45485</v>
      </c>
      <c r="K248" s="1">
        <v>45523</v>
      </c>
      <c r="L248" s="25">
        <f ca="1">CLIENTES[[#This Row],[Fecha Vencimiento]]-$J$6</f>
        <v>-72</v>
      </c>
      <c r="N248" s="1" t="str">
        <f t="shared" ca="1" si="6"/>
        <v>Vencido</v>
      </c>
      <c r="O248" s="19"/>
      <c r="P248" s="2"/>
      <c r="Q248" s="2">
        <f t="shared" si="7"/>
        <v>0</v>
      </c>
    </row>
    <row r="249" spans="3:17" x14ac:dyDescent="0.25">
      <c r="C249" s="13" t="s">
        <v>631</v>
      </c>
      <c r="D249" s="13" t="s">
        <v>632</v>
      </c>
      <c r="E249" s="10">
        <v>1162548497</v>
      </c>
      <c r="F249" t="s">
        <v>159</v>
      </c>
      <c r="G249" t="s">
        <v>633</v>
      </c>
      <c r="H249" s="14">
        <v>4</v>
      </c>
      <c r="I249" s="10" t="s">
        <v>183</v>
      </c>
      <c r="J249" s="1">
        <v>45542</v>
      </c>
      <c r="K249" s="1">
        <v>45572</v>
      </c>
      <c r="L249" s="25">
        <f ca="1">CLIENTES[[#This Row],[Fecha Vencimiento]]-$J$6</f>
        <v>-23</v>
      </c>
      <c r="N249" s="1" t="str">
        <f t="shared" ca="1" si="6"/>
        <v>Vencido</v>
      </c>
      <c r="O249" s="19"/>
      <c r="P249" s="2"/>
      <c r="Q249" s="2">
        <f t="shared" si="7"/>
        <v>0</v>
      </c>
    </row>
    <row r="250" spans="3:17" x14ac:dyDescent="0.25">
      <c r="C250" s="13" t="s">
        <v>634</v>
      </c>
      <c r="D250" s="13" t="s">
        <v>635</v>
      </c>
      <c r="E250" s="10" t="s">
        <v>3115</v>
      </c>
      <c r="F250" t="s">
        <v>35</v>
      </c>
      <c r="G250" t="s">
        <v>636</v>
      </c>
      <c r="H250" s="14">
        <v>1</v>
      </c>
      <c r="I250" s="10" t="s">
        <v>28</v>
      </c>
      <c r="J250" s="1">
        <v>45548</v>
      </c>
      <c r="K250" s="1">
        <v>45578</v>
      </c>
      <c r="L250" s="25">
        <f ca="1">CLIENTES[[#This Row],[Fecha Vencimiento]]-$J$6</f>
        <v>-17</v>
      </c>
      <c r="N250" s="1" t="str">
        <f t="shared" ca="1" si="6"/>
        <v>Vencido</v>
      </c>
      <c r="O250" s="19">
        <v>45548</v>
      </c>
      <c r="P250" s="2"/>
      <c r="Q250" s="2">
        <f t="shared" si="7"/>
        <v>-45548</v>
      </c>
    </row>
    <row r="251" spans="3:17" x14ac:dyDescent="0.25">
      <c r="C251" s="13" t="s">
        <v>637</v>
      </c>
      <c r="D251" s="13" t="s">
        <v>638</v>
      </c>
      <c r="F251" t="s">
        <v>35</v>
      </c>
      <c r="G251" t="s">
        <v>639</v>
      </c>
      <c r="I251" s="10" t="s">
        <v>28</v>
      </c>
      <c r="J251" s="1">
        <v>45454</v>
      </c>
      <c r="K251" s="1">
        <v>45484</v>
      </c>
      <c r="L251" s="25">
        <f ca="1">CLIENTES[[#This Row],[Fecha Vencimiento]]-$J$6</f>
        <v>-111</v>
      </c>
      <c r="N251" s="1" t="str">
        <f t="shared" ca="1" si="6"/>
        <v>Vencido</v>
      </c>
      <c r="O251" s="19"/>
      <c r="P251" s="2"/>
      <c r="Q251" s="2">
        <f t="shared" si="7"/>
        <v>0</v>
      </c>
    </row>
    <row r="252" spans="3:17" x14ac:dyDescent="0.25">
      <c r="C252" s="13" t="s">
        <v>637</v>
      </c>
      <c r="D252" s="13" t="s">
        <v>640</v>
      </c>
      <c r="E252" s="10" t="s">
        <v>2931</v>
      </c>
      <c r="F252" t="s">
        <v>35</v>
      </c>
      <c r="G252" t="s">
        <v>641</v>
      </c>
      <c r="H252" s="14">
        <v>1</v>
      </c>
      <c r="I252" s="10" t="s">
        <v>28</v>
      </c>
      <c r="J252" s="1">
        <v>45563</v>
      </c>
      <c r="K252" s="1">
        <v>45593</v>
      </c>
      <c r="L252" s="25">
        <f ca="1">CLIENTES[[#This Row],[Fecha Vencimiento]]-$J$6</f>
        <v>-2</v>
      </c>
      <c r="N252" s="1" t="str">
        <f t="shared" ca="1" si="6"/>
        <v>Vencido</v>
      </c>
      <c r="O252" s="19">
        <v>45563</v>
      </c>
      <c r="P252" s="2"/>
      <c r="Q252" s="2">
        <f t="shared" si="7"/>
        <v>-45563</v>
      </c>
    </row>
    <row r="253" spans="3:17" x14ac:dyDescent="0.25">
      <c r="C253" s="13" t="s">
        <v>642</v>
      </c>
      <c r="D253" s="13" t="s">
        <v>643</v>
      </c>
      <c r="F253" t="s">
        <v>35</v>
      </c>
      <c r="G253" t="s">
        <v>644</v>
      </c>
      <c r="I253" s="10" t="s">
        <v>28</v>
      </c>
      <c r="J253" s="1">
        <v>45488</v>
      </c>
      <c r="K253" s="1">
        <v>45518</v>
      </c>
      <c r="L253" s="25">
        <f ca="1">CLIENTES[[#This Row],[Fecha Vencimiento]]-$J$6</f>
        <v>-77</v>
      </c>
      <c r="N253" s="1" t="str">
        <f t="shared" ca="1" si="6"/>
        <v>Vencido</v>
      </c>
      <c r="O253" s="19"/>
      <c r="P253" s="2"/>
      <c r="Q253" s="2">
        <f t="shared" si="7"/>
        <v>0</v>
      </c>
    </row>
    <row r="254" spans="3:17" x14ac:dyDescent="0.25">
      <c r="C254" s="13" t="s">
        <v>642</v>
      </c>
      <c r="D254" s="13" t="s">
        <v>645</v>
      </c>
      <c r="E254" s="10" t="s">
        <v>2931</v>
      </c>
      <c r="F254" t="s">
        <v>35</v>
      </c>
      <c r="G254" t="s">
        <v>646</v>
      </c>
      <c r="H254" s="14">
        <v>2</v>
      </c>
      <c r="I254" s="10" t="s">
        <v>28</v>
      </c>
      <c r="J254" s="1">
        <v>45575</v>
      </c>
      <c r="K254" s="1">
        <v>45592</v>
      </c>
      <c r="L254" s="25">
        <f ca="1">CLIENTES[[#This Row],[Fecha Vencimiento]]-$J$6</f>
        <v>-3</v>
      </c>
      <c r="N254" s="1" t="str">
        <f t="shared" ca="1" si="6"/>
        <v>Vencido</v>
      </c>
      <c r="O254" s="19"/>
      <c r="P254" s="2"/>
      <c r="Q254" s="2">
        <f t="shared" si="7"/>
        <v>0</v>
      </c>
    </row>
    <row r="255" spans="3:17" x14ac:dyDescent="0.25">
      <c r="C255" s="13" t="s">
        <v>647</v>
      </c>
      <c r="D255" s="13" t="s">
        <v>117</v>
      </c>
      <c r="E255" s="10" t="s">
        <v>3106</v>
      </c>
      <c r="F255" t="s">
        <v>35</v>
      </c>
      <c r="G255" t="s">
        <v>648</v>
      </c>
      <c r="H255" s="14">
        <v>4</v>
      </c>
      <c r="I255" s="10" t="s">
        <v>28</v>
      </c>
      <c r="J255" s="1">
        <v>45574</v>
      </c>
      <c r="K255" s="1">
        <v>45603</v>
      </c>
      <c r="L255" s="25">
        <f ca="1">CLIENTES[[#This Row],[Fecha Vencimiento]]-$J$6</f>
        <v>8</v>
      </c>
      <c r="N255" s="1" t="str">
        <f t="shared" ca="1" si="6"/>
        <v>Al dia</v>
      </c>
      <c r="O255" s="19"/>
      <c r="P255" s="2"/>
      <c r="Q255" s="2">
        <f t="shared" si="7"/>
        <v>0</v>
      </c>
    </row>
    <row r="256" spans="3:17" x14ac:dyDescent="0.25">
      <c r="C256" s="13" t="s">
        <v>649</v>
      </c>
      <c r="D256" s="13" t="s">
        <v>650</v>
      </c>
      <c r="F256" t="s">
        <v>35</v>
      </c>
      <c r="G256" t="s">
        <v>651</v>
      </c>
      <c r="I256" s="10" t="s">
        <v>28</v>
      </c>
      <c r="J256" s="1">
        <v>45470</v>
      </c>
      <c r="K256" s="1">
        <v>45500</v>
      </c>
      <c r="L256" s="25">
        <f ca="1">CLIENTES[[#This Row],[Fecha Vencimiento]]-$J$6</f>
        <v>-95</v>
      </c>
      <c r="N256" s="1" t="str">
        <f t="shared" ca="1" si="6"/>
        <v>Vencido</v>
      </c>
      <c r="O256" s="19"/>
      <c r="P256" s="2"/>
      <c r="Q256" s="2">
        <f t="shared" si="7"/>
        <v>0</v>
      </c>
    </row>
    <row r="257" spans="3:17" x14ac:dyDescent="0.25">
      <c r="C257" t="s">
        <v>652</v>
      </c>
      <c r="D257" t="s">
        <v>291</v>
      </c>
      <c r="E257" s="10" t="s">
        <v>2931</v>
      </c>
      <c r="F257" t="s">
        <v>35</v>
      </c>
      <c r="G257" t="s">
        <v>653</v>
      </c>
      <c r="H257" s="14">
        <v>1</v>
      </c>
      <c r="I257" s="10" t="s">
        <v>28</v>
      </c>
      <c r="J257" s="1">
        <v>45552</v>
      </c>
      <c r="K257" s="1">
        <v>45582</v>
      </c>
      <c r="L257" s="25">
        <f ca="1">CLIENTES[[#This Row],[Fecha Vencimiento]]-$J$6</f>
        <v>-13</v>
      </c>
      <c r="N257" s="1" t="str">
        <f t="shared" ca="1" si="6"/>
        <v>Vencido</v>
      </c>
      <c r="O257" s="19">
        <v>45552</v>
      </c>
      <c r="P257" s="2"/>
      <c r="Q257" s="2">
        <f t="shared" si="7"/>
        <v>-45552</v>
      </c>
    </row>
    <row r="258" spans="3:17" x14ac:dyDescent="0.25">
      <c r="C258" s="13" t="s">
        <v>654</v>
      </c>
      <c r="D258" s="13" t="s">
        <v>655</v>
      </c>
      <c r="E258" s="10" t="s">
        <v>3107</v>
      </c>
      <c r="F258" t="s">
        <v>35</v>
      </c>
      <c r="G258" t="s">
        <v>656</v>
      </c>
      <c r="H258" s="14">
        <v>1</v>
      </c>
      <c r="I258" s="10" t="s">
        <v>28</v>
      </c>
      <c r="J258" s="1">
        <v>45565</v>
      </c>
      <c r="K258" s="1">
        <v>45595</v>
      </c>
      <c r="L258" s="25">
        <f ca="1">CLIENTES[[#This Row],[Fecha Vencimiento]]-$J$6</f>
        <v>0</v>
      </c>
      <c r="N258" s="1" t="str">
        <f t="shared" ca="1" si="6"/>
        <v>Vence hoy</v>
      </c>
      <c r="O258" s="19"/>
      <c r="P258" s="2"/>
      <c r="Q258" s="2">
        <f t="shared" si="7"/>
        <v>0</v>
      </c>
    </row>
    <row r="259" spans="3:17" x14ac:dyDescent="0.25">
      <c r="C259" s="13" t="s">
        <v>654</v>
      </c>
      <c r="D259" s="13" t="s">
        <v>657</v>
      </c>
      <c r="E259" s="10">
        <v>1141675727</v>
      </c>
      <c r="F259" t="s">
        <v>35</v>
      </c>
      <c r="G259" t="s">
        <v>658</v>
      </c>
      <c r="H259" s="14">
        <v>2</v>
      </c>
      <c r="I259" s="10" t="s">
        <v>28</v>
      </c>
      <c r="J259" s="1">
        <v>45584</v>
      </c>
      <c r="K259" s="1">
        <v>45613</v>
      </c>
      <c r="L259" s="25">
        <f ca="1">CLIENTES[[#This Row],[Fecha Vencimiento]]-$J$6</f>
        <v>18</v>
      </c>
      <c r="N259" s="1" t="str">
        <f t="shared" ca="1" si="6"/>
        <v>Al dia</v>
      </c>
      <c r="O259" s="19">
        <v>45552</v>
      </c>
      <c r="P259" s="2"/>
      <c r="Q259" s="2">
        <f t="shared" si="7"/>
        <v>-45552</v>
      </c>
    </row>
    <row r="260" spans="3:17" x14ac:dyDescent="0.25">
      <c r="C260" s="13" t="s">
        <v>659</v>
      </c>
      <c r="D260" s="13" t="s">
        <v>660</v>
      </c>
      <c r="E260" s="10">
        <v>1141682914</v>
      </c>
      <c r="F260" t="s">
        <v>26</v>
      </c>
      <c r="G260" t="s">
        <v>661</v>
      </c>
      <c r="H260" s="14">
        <v>2</v>
      </c>
      <c r="I260" s="10" t="s">
        <v>28</v>
      </c>
      <c r="J260" s="1">
        <v>45573</v>
      </c>
      <c r="K260" s="1">
        <v>45607</v>
      </c>
      <c r="L260" s="25">
        <f ca="1">CLIENTES[[#This Row],[Fecha Vencimiento]]-$J$6</f>
        <v>12</v>
      </c>
      <c r="N260" s="1" t="str">
        <f t="shared" ca="1" si="6"/>
        <v>Al dia</v>
      </c>
      <c r="O260" s="19">
        <v>45546</v>
      </c>
      <c r="P260" s="2"/>
      <c r="Q260" s="2">
        <f t="shared" si="7"/>
        <v>-45546</v>
      </c>
    </row>
    <row r="261" spans="3:17" x14ac:dyDescent="0.25">
      <c r="C261" s="13" t="s">
        <v>662</v>
      </c>
      <c r="D261" s="13" t="s">
        <v>663</v>
      </c>
      <c r="E261" s="10">
        <v>1126825213</v>
      </c>
      <c r="F261" t="s">
        <v>35</v>
      </c>
      <c r="G261" t="s">
        <v>664</v>
      </c>
      <c r="H261" s="14">
        <v>2</v>
      </c>
      <c r="I261" s="10" t="s">
        <v>28</v>
      </c>
      <c r="J261" s="1">
        <v>45533</v>
      </c>
      <c r="K261" s="1">
        <v>45557</v>
      </c>
      <c r="L261" s="25">
        <f ca="1">CLIENTES[[#This Row],[Fecha Vencimiento]]-$J$6</f>
        <v>-38</v>
      </c>
      <c r="N261" s="1" t="str">
        <f t="shared" ca="1" si="6"/>
        <v>Vencido</v>
      </c>
      <c r="O261" s="19"/>
      <c r="P261" s="2"/>
      <c r="Q261" s="2">
        <f t="shared" si="7"/>
        <v>0</v>
      </c>
    </row>
    <row r="262" spans="3:17" x14ac:dyDescent="0.25">
      <c r="C262" s="13" t="s">
        <v>665</v>
      </c>
      <c r="D262" s="13" t="s">
        <v>666</v>
      </c>
      <c r="E262" s="10">
        <v>1151626959</v>
      </c>
      <c r="F262" t="s">
        <v>35</v>
      </c>
      <c r="G262" t="s">
        <v>667</v>
      </c>
      <c r="H262" s="14">
        <v>1</v>
      </c>
      <c r="I262" s="10" t="s">
        <v>28</v>
      </c>
      <c r="J262" s="1">
        <v>45559</v>
      </c>
      <c r="K262" s="1">
        <v>45589</v>
      </c>
      <c r="L262" s="25">
        <f ca="1">CLIENTES[[#This Row],[Fecha Vencimiento]]-$J$6</f>
        <v>-6</v>
      </c>
      <c r="N262" s="1" t="str">
        <f t="shared" ca="1" si="6"/>
        <v>Vencido</v>
      </c>
      <c r="O262" s="19">
        <v>45559</v>
      </c>
      <c r="P262" s="2"/>
      <c r="Q262" s="2">
        <f t="shared" si="7"/>
        <v>-45559</v>
      </c>
    </row>
    <row r="263" spans="3:17" ht="30" x14ac:dyDescent="0.25">
      <c r="C263" s="33" t="s">
        <v>668</v>
      </c>
      <c r="D263" s="13" t="s">
        <v>669</v>
      </c>
      <c r="E263" s="10">
        <v>1134291785</v>
      </c>
      <c r="F263" t="s">
        <v>35</v>
      </c>
      <c r="G263" t="s">
        <v>670</v>
      </c>
      <c r="H263" s="14">
        <v>3</v>
      </c>
      <c r="I263" s="10" t="s">
        <v>28</v>
      </c>
      <c r="J263" s="1">
        <v>45568</v>
      </c>
      <c r="K263" s="1">
        <v>45598</v>
      </c>
      <c r="L263" s="25">
        <f ca="1">CLIENTES[[#This Row],[Fecha Vencimiento]]-$J$6</f>
        <v>3</v>
      </c>
      <c r="N263" s="1" t="str">
        <f t="shared" ca="1" si="6"/>
        <v>Por vencer</v>
      </c>
      <c r="O263" s="19"/>
      <c r="P263" s="2"/>
      <c r="Q263" s="2">
        <f t="shared" si="7"/>
        <v>0</v>
      </c>
    </row>
    <row r="264" spans="3:17" x14ac:dyDescent="0.25">
      <c r="C264" s="13" t="s">
        <v>671</v>
      </c>
      <c r="D264" s="13" t="s">
        <v>672</v>
      </c>
      <c r="E264" s="10">
        <v>1151075473</v>
      </c>
      <c r="F264" t="s">
        <v>35</v>
      </c>
      <c r="G264" t="s">
        <v>673</v>
      </c>
      <c r="H264" s="14">
        <v>2</v>
      </c>
      <c r="I264" s="10" t="s">
        <v>28</v>
      </c>
      <c r="J264" s="1">
        <v>45549</v>
      </c>
      <c r="K264" s="1">
        <v>45575</v>
      </c>
      <c r="L264" s="25">
        <f ca="1">CLIENTES[[#This Row],[Fecha Vencimiento]]-$J$6</f>
        <v>-20</v>
      </c>
      <c r="N264" s="1" t="str">
        <f t="shared" ref="N264:N327" ca="1" si="8">IF(L264&lt;0,"Vencido",IF(L264=0,"Vence hoy",IF(L264&lt;4,"Por vencer","Al dia")))</f>
        <v>Vencido</v>
      </c>
      <c r="O264" s="19"/>
      <c r="P264" s="2"/>
      <c r="Q264" s="2">
        <f t="shared" ref="Q264:Q327" si="9">P264-O264</f>
        <v>0</v>
      </c>
    </row>
    <row r="265" spans="3:17" x14ac:dyDescent="0.25">
      <c r="C265" t="s">
        <v>674</v>
      </c>
      <c r="D265" t="s">
        <v>675</v>
      </c>
      <c r="E265" s="10" t="s">
        <v>2931</v>
      </c>
      <c r="G265" s="28" t="s">
        <v>676</v>
      </c>
      <c r="H265" s="14">
        <v>1</v>
      </c>
      <c r="I265" s="10" t="s">
        <v>28</v>
      </c>
      <c r="J265" s="1">
        <v>45567</v>
      </c>
      <c r="K265" s="1">
        <v>45598</v>
      </c>
      <c r="L265" s="26">
        <f ca="1">CLIENTES[[#This Row],[Fecha Vencimiento]]-$J$6</f>
        <v>3</v>
      </c>
      <c r="N265" s="1" t="str">
        <f t="shared" ca="1" si="8"/>
        <v>Por vencer</v>
      </c>
      <c r="O265" s="19">
        <v>45567</v>
      </c>
      <c r="P265" s="2"/>
      <c r="Q265" s="2">
        <f t="shared" si="9"/>
        <v>-45567</v>
      </c>
    </row>
    <row r="266" spans="3:17" x14ac:dyDescent="0.25">
      <c r="C266" s="13" t="s">
        <v>677</v>
      </c>
      <c r="D266" s="13" t="s">
        <v>678</v>
      </c>
      <c r="E266" s="10">
        <v>1151757020</v>
      </c>
      <c r="F266" t="s">
        <v>35</v>
      </c>
      <c r="G266" t="s">
        <v>679</v>
      </c>
      <c r="H266" s="14">
        <v>4</v>
      </c>
      <c r="I266" s="10" t="s">
        <v>28</v>
      </c>
      <c r="J266" s="1">
        <v>45583</v>
      </c>
      <c r="K266" s="1">
        <v>45615</v>
      </c>
      <c r="L266" s="25">
        <f ca="1">CLIENTES[[#This Row],[Fecha Vencimiento]]-$J$6</f>
        <v>20</v>
      </c>
      <c r="N266" s="1" t="str">
        <f t="shared" ca="1" si="8"/>
        <v>Al dia</v>
      </c>
      <c r="O266" s="19"/>
      <c r="P266" s="2"/>
      <c r="Q266" s="2">
        <f t="shared" si="9"/>
        <v>0</v>
      </c>
    </row>
    <row r="267" spans="3:17" x14ac:dyDescent="0.25">
      <c r="C267" s="13" t="s">
        <v>680</v>
      </c>
      <c r="D267" s="13" t="s">
        <v>681</v>
      </c>
      <c r="F267" t="s">
        <v>35</v>
      </c>
      <c r="G267" t="s">
        <v>682</v>
      </c>
      <c r="I267" s="10" t="s">
        <v>28</v>
      </c>
      <c r="J267" s="1">
        <v>45516</v>
      </c>
      <c r="K267" s="1">
        <v>45532</v>
      </c>
      <c r="L267" s="25">
        <f ca="1">CLIENTES[[#This Row],[Fecha Vencimiento]]-$J$6</f>
        <v>-63</v>
      </c>
      <c r="N267" s="1" t="str">
        <f t="shared" ca="1" si="8"/>
        <v>Vencido</v>
      </c>
      <c r="O267" s="19"/>
      <c r="P267" s="2"/>
      <c r="Q267" s="2">
        <f t="shared" si="9"/>
        <v>0</v>
      </c>
    </row>
    <row r="268" spans="3:17" x14ac:dyDescent="0.25">
      <c r="C268" s="13" t="s">
        <v>683</v>
      </c>
      <c r="D268" s="13" t="s">
        <v>684</v>
      </c>
      <c r="E268" s="10">
        <v>1135932028</v>
      </c>
      <c r="F268" t="s">
        <v>35</v>
      </c>
      <c r="G268" t="s">
        <v>685</v>
      </c>
      <c r="H268" s="14">
        <v>1</v>
      </c>
      <c r="I268" s="10" t="s">
        <v>28</v>
      </c>
      <c r="J268" s="1">
        <v>45563</v>
      </c>
      <c r="K268" s="1">
        <v>45593</v>
      </c>
      <c r="L268" s="25">
        <f ca="1">CLIENTES[[#This Row],[Fecha Vencimiento]]-$J$6</f>
        <v>-2</v>
      </c>
      <c r="N268" s="1" t="str">
        <f t="shared" ca="1" si="8"/>
        <v>Vencido</v>
      </c>
      <c r="O268" s="19">
        <v>45563</v>
      </c>
      <c r="P268" s="2"/>
      <c r="Q268" s="2">
        <f t="shared" si="9"/>
        <v>-45563</v>
      </c>
    </row>
    <row r="269" spans="3:17" x14ac:dyDescent="0.25">
      <c r="C269" s="13" t="s">
        <v>686</v>
      </c>
      <c r="D269" s="13" t="s">
        <v>687</v>
      </c>
      <c r="E269" s="10" t="s">
        <v>3107</v>
      </c>
      <c r="F269" t="s">
        <v>35</v>
      </c>
      <c r="G269" t="s">
        <v>688</v>
      </c>
      <c r="H269" s="14">
        <v>5</v>
      </c>
      <c r="I269" s="10" t="s">
        <v>28</v>
      </c>
      <c r="J269" s="1">
        <v>45575</v>
      </c>
      <c r="K269" s="1">
        <v>45606</v>
      </c>
      <c r="L269" s="25">
        <f ca="1">CLIENTES[[#This Row],[Fecha Vencimiento]]-$J$6</f>
        <v>11</v>
      </c>
      <c r="N269" s="1" t="str">
        <f t="shared" ca="1" si="8"/>
        <v>Al dia</v>
      </c>
      <c r="O269" s="19"/>
      <c r="P269" s="2"/>
      <c r="Q269" s="2">
        <f t="shared" si="9"/>
        <v>0</v>
      </c>
    </row>
    <row r="270" spans="3:17" x14ac:dyDescent="0.25">
      <c r="C270" s="13" t="s">
        <v>689</v>
      </c>
      <c r="D270" s="13" t="s">
        <v>690</v>
      </c>
      <c r="E270" s="10" t="s">
        <v>3116</v>
      </c>
      <c r="F270" t="s">
        <v>35</v>
      </c>
      <c r="G270" t="s">
        <v>691</v>
      </c>
      <c r="H270" s="14">
        <v>2</v>
      </c>
      <c r="I270" s="10" t="s">
        <v>28</v>
      </c>
      <c r="J270" s="1">
        <v>45586</v>
      </c>
      <c r="K270" s="1">
        <v>45619</v>
      </c>
      <c r="L270" s="25">
        <f ca="1">CLIENTES[[#This Row],[Fecha Vencimiento]]-$J$6</f>
        <v>24</v>
      </c>
      <c r="N270" s="1" t="str">
        <f t="shared" ca="1" si="8"/>
        <v>Al dia</v>
      </c>
      <c r="O270" s="19">
        <v>45558</v>
      </c>
      <c r="P270" s="2"/>
      <c r="Q270" s="2">
        <f t="shared" si="9"/>
        <v>-45558</v>
      </c>
    </row>
    <row r="271" spans="3:17" x14ac:dyDescent="0.25">
      <c r="C271" s="13" t="s">
        <v>692</v>
      </c>
      <c r="D271" s="13" t="s">
        <v>693</v>
      </c>
      <c r="E271" s="10">
        <v>1164062171</v>
      </c>
      <c r="F271" t="s">
        <v>35</v>
      </c>
      <c r="G271" t="s">
        <v>694</v>
      </c>
      <c r="H271" s="14">
        <v>4</v>
      </c>
      <c r="I271" s="10" t="s">
        <v>28</v>
      </c>
      <c r="J271" s="1">
        <v>45570</v>
      </c>
      <c r="K271" s="1">
        <v>45602</v>
      </c>
      <c r="L271" s="25">
        <f ca="1">CLIENTES[[#This Row],[Fecha Vencimiento]]-$J$6</f>
        <v>7</v>
      </c>
      <c r="N271" s="1" t="str">
        <f t="shared" ca="1" si="8"/>
        <v>Al dia</v>
      </c>
      <c r="O271" s="19"/>
      <c r="P271" s="2"/>
      <c r="Q271" s="2">
        <f t="shared" si="9"/>
        <v>0</v>
      </c>
    </row>
    <row r="272" spans="3:17" x14ac:dyDescent="0.25">
      <c r="C272" s="13" t="s">
        <v>695</v>
      </c>
      <c r="D272" s="13" t="s">
        <v>696</v>
      </c>
      <c r="E272" s="10" t="s">
        <v>2931</v>
      </c>
      <c r="F272" t="s">
        <v>35</v>
      </c>
      <c r="G272" t="s">
        <v>697</v>
      </c>
      <c r="H272" s="14">
        <v>4</v>
      </c>
      <c r="I272" s="10" t="s">
        <v>28</v>
      </c>
      <c r="J272" s="1">
        <v>45552</v>
      </c>
      <c r="K272" s="1">
        <v>45583</v>
      </c>
      <c r="L272" s="25">
        <f ca="1">CLIENTES[[#This Row],[Fecha Vencimiento]]-$J$6</f>
        <v>-12</v>
      </c>
      <c r="N272" s="1" t="str">
        <f t="shared" ca="1" si="8"/>
        <v>Vencido</v>
      </c>
      <c r="O272" s="19"/>
      <c r="P272" s="2"/>
      <c r="Q272" s="2">
        <f t="shared" si="9"/>
        <v>0</v>
      </c>
    </row>
    <row r="273" spans="3:17" x14ac:dyDescent="0.25">
      <c r="C273" s="13" t="s">
        <v>698</v>
      </c>
      <c r="D273" s="13" t="s">
        <v>699</v>
      </c>
      <c r="E273" s="10">
        <v>1127928595</v>
      </c>
      <c r="F273" t="s">
        <v>35</v>
      </c>
      <c r="G273" t="s">
        <v>700</v>
      </c>
      <c r="H273" s="14">
        <v>6</v>
      </c>
      <c r="I273" s="10" t="s">
        <v>28</v>
      </c>
      <c r="J273" s="1">
        <v>45570</v>
      </c>
      <c r="K273" s="1">
        <v>45604</v>
      </c>
      <c r="L273" s="25">
        <f ca="1">CLIENTES[[#This Row],[Fecha Vencimiento]]-$J$6</f>
        <v>9</v>
      </c>
      <c r="N273" s="1" t="str">
        <f t="shared" ca="1" si="8"/>
        <v>Al dia</v>
      </c>
      <c r="O273" s="19"/>
      <c r="P273" s="2"/>
      <c r="Q273" s="2">
        <f t="shared" si="9"/>
        <v>0</v>
      </c>
    </row>
    <row r="274" spans="3:17" x14ac:dyDescent="0.25">
      <c r="C274" s="13" t="s">
        <v>698</v>
      </c>
      <c r="D274" s="13" t="s">
        <v>699</v>
      </c>
      <c r="E274" s="10">
        <v>1127928595</v>
      </c>
      <c r="F274" t="s">
        <v>35</v>
      </c>
      <c r="G274" t="s">
        <v>701</v>
      </c>
      <c r="I274" s="10" t="s">
        <v>28</v>
      </c>
      <c r="J274" s="1">
        <v>45510</v>
      </c>
      <c r="K274" s="1">
        <v>45543</v>
      </c>
      <c r="L274" s="25">
        <f ca="1">CLIENTES[[#This Row],[Fecha Vencimiento]]-$J$6</f>
        <v>-52</v>
      </c>
      <c r="N274" s="1" t="str">
        <f t="shared" ca="1" si="8"/>
        <v>Vencido</v>
      </c>
      <c r="O274" s="19"/>
      <c r="P274" s="2"/>
      <c r="Q274" s="2">
        <f t="shared" si="9"/>
        <v>0</v>
      </c>
    </row>
    <row r="275" spans="3:17" x14ac:dyDescent="0.25">
      <c r="C275" s="13" t="s">
        <v>702</v>
      </c>
      <c r="D275" s="13" t="s">
        <v>703</v>
      </c>
      <c r="F275" t="s">
        <v>35</v>
      </c>
      <c r="G275" t="s">
        <v>704</v>
      </c>
      <c r="I275" s="10" t="s">
        <v>28</v>
      </c>
      <c r="J275" s="1">
        <v>45498</v>
      </c>
      <c r="K275" s="1">
        <v>45529</v>
      </c>
      <c r="L275" s="25">
        <f ca="1">CLIENTES[[#This Row],[Fecha Vencimiento]]-$J$6</f>
        <v>-66</v>
      </c>
      <c r="N275" s="1" t="str">
        <f t="shared" ca="1" si="8"/>
        <v>Vencido</v>
      </c>
      <c r="O275" s="19"/>
      <c r="P275" s="2"/>
      <c r="Q275" s="2">
        <f t="shared" si="9"/>
        <v>0</v>
      </c>
    </row>
    <row r="276" spans="3:17" x14ac:dyDescent="0.25">
      <c r="C276" s="13" t="s">
        <v>705</v>
      </c>
      <c r="D276" s="13" t="s">
        <v>706</v>
      </c>
      <c r="E276" s="10">
        <v>1130182593</v>
      </c>
      <c r="F276" t="s">
        <v>35</v>
      </c>
      <c r="G276" t="s">
        <v>707</v>
      </c>
      <c r="H276" s="14">
        <v>1</v>
      </c>
      <c r="I276" s="10" t="s">
        <v>28</v>
      </c>
      <c r="J276" s="1">
        <v>45533</v>
      </c>
      <c r="K276" s="1">
        <v>45564</v>
      </c>
      <c r="L276" s="25">
        <f ca="1">CLIENTES[[#This Row],[Fecha Vencimiento]]-$J$6</f>
        <v>-31</v>
      </c>
      <c r="N276" s="1" t="str">
        <f t="shared" ca="1" si="8"/>
        <v>Vencido</v>
      </c>
      <c r="O276" s="19">
        <v>45533</v>
      </c>
      <c r="P276" s="2"/>
      <c r="Q276" s="2">
        <f t="shared" si="9"/>
        <v>-45533</v>
      </c>
    </row>
    <row r="277" spans="3:17" x14ac:dyDescent="0.25">
      <c r="C277" s="13" t="s">
        <v>708</v>
      </c>
      <c r="D277" s="13" t="s">
        <v>709</v>
      </c>
      <c r="E277" s="10">
        <v>1135539379</v>
      </c>
      <c r="F277" t="s">
        <v>35</v>
      </c>
      <c r="G277" t="s">
        <v>710</v>
      </c>
      <c r="H277" s="14">
        <v>4</v>
      </c>
      <c r="I277" s="10" t="s">
        <v>28</v>
      </c>
      <c r="J277" s="1">
        <v>45570</v>
      </c>
      <c r="K277" s="1">
        <v>45603</v>
      </c>
      <c r="L277" s="25">
        <f ca="1">CLIENTES[[#This Row],[Fecha Vencimiento]]-$J$6</f>
        <v>8</v>
      </c>
      <c r="N277" s="1" t="str">
        <f t="shared" ca="1" si="8"/>
        <v>Al dia</v>
      </c>
      <c r="O277" s="19"/>
      <c r="P277" s="2"/>
      <c r="Q277" s="2">
        <f t="shared" si="9"/>
        <v>0</v>
      </c>
    </row>
    <row r="278" spans="3:17" x14ac:dyDescent="0.25">
      <c r="C278" s="13" t="s">
        <v>711</v>
      </c>
      <c r="D278" s="13" t="s">
        <v>359</v>
      </c>
      <c r="F278" t="s">
        <v>35</v>
      </c>
      <c r="G278" t="s">
        <v>712</v>
      </c>
      <c r="H278" s="14">
        <v>1</v>
      </c>
      <c r="I278" s="10" t="s">
        <v>28</v>
      </c>
      <c r="J278" s="1">
        <v>45584</v>
      </c>
      <c r="K278" s="1">
        <v>45615</v>
      </c>
      <c r="L278" s="25">
        <f ca="1">CLIENTES[[#This Row],[Fecha Vencimiento]]-$J$6</f>
        <v>20</v>
      </c>
      <c r="N278" s="1" t="str">
        <f t="shared" ca="1" si="8"/>
        <v>Al dia</v>
      </c>
      <c r="O278" s="19">
        <v>45584</v>
      </c>
      <c r="P278" s="2"/>
      <c r="Q278" s="2">
        <f t="shared" si="9"/>
        <v>-45584</v>
      </c>
    </row>
    <row r="279" spans="3:17" x14ac:dyDescent="0.25">
      <c r="C279" s="13" t="s">
        <v>713</v>
      </c>
      <c r="D279" s="13" t="s">
        <v>714</v>
      </c>
      <c r="F279" t="s">
        <v>35</v>
      </c>
      <c r="G279" t="s">
        <v>715</v>
      </c>
      <c r="I279" s="10" t="s">
        <v>28</v>
      </c>
      <c r="J279" s="1">
        <v>45497</v>
      </c>
      <c r="K279" s="1">
        <v>45528</v>
      </c>
      <c r="L279" s="25">
        <f ca="1">CLIENTES[[#This Row],[Fecha Vencimiento]]-$J$6</f>
        <v>-67</v>
      </c>
      <c r="N279" s="1" t="str">
        <f t="shared" ca="1" si="8"/>
        <v>Vencido</v>
      </c>
      <c r="O279" s="19"/>
      <c r="P279" s="2"/>
      <c r="Q279" s="2">
        <f t="shared" si="9"/>
        <v>0</v>
      </c>
    </row>
    <row r="280" spans="3:17" x14ac:dyDescent="0.25">
      <c r="C280" s="13" t="s">
        <v>716</v>
      </c>
      <c r="D280" s="13" t="s">
        <v>214</v>
      </c>
      <c r="E280" s="10">
        <v>1136526647</v>
      </c>
      <c r="F280" t="s">
        <v>159</v>
      </c>
      <c r="G280" t="s">
        <v>717</v>
      </c>
      <c r="H280" s="14">
        <v>2</v>
      </c>
      <c r="I280" s="10" t="s">
        <v>718</v>
      </c>
      <c r="J280" s="1">
        <v>45551</v>
      </c>
      <c r="K280" s="1">
        <v>45584</v>
      </c>
      <c r="L280" s="25">
        <f ca="1">CLIENTES[[#This Row],[Fecha Vencimiento]]-$J$6</f>
        <v>-11</v>
      </c>
      <c r="N280" s="1" t="str">
        <f t="shared" ca="1" si="8"/>
        <v>Vencido</v>
      </c>
      <c r="O280" s="19"/>
      <c r="P280" s="2"/>
      <c r="Q280" s="2">
        <f t="shared" si="9"/>
        <v>0</v>
      </c>
    </row>
    <row r="281" spans="3:17" x14ac:dyDescent="0.25">
      <c r="C281" s="13" t="s">
        <v>716</v>
      </c>
      <c r="D281" s="13" t="s">
        <v>719</v>
      </c>
      <c r="E281" s="10" t="s">
        <v>2931</v>
      </c>
      <c r="F281" t="s">
        <v>232</v>
      </c>
      <c r="G281" t="s">
        <v>720</v>
      </c>
      <c r="H281" s="14">
        <v>3</v>
      </c>
      <c r="I281" s="10" t="s">
        <v>79</v>
      </c>
      <c r="J281" s="1">
        <v>45545</v>
      </c>
      <c r="K281" s="1">
        <v>45583</v>
      </c>
      <c r="L281" s="25">
        <f ca="1">CLIENTES[[#This Row],[Fecha Vencimiento]]-$J$6</f>
        <v>-12</v>
      </c>
      <c r="N281" s="1" t="str">
        <f t="shared" ca="1" si="8"/>
        <v>Vencido</v>
      </c>
      <c r="O281" s="19"/>
      <c r="P281" s="2"/>
      <c r="Q281" s="2">
        <f t="shared" si="9"/>
        <v>0</v>
      </c>
    </row>
    <row r="282" spans="3:17" x14ac:dyDescent="0.25">
      <c r="C282" s="13" t="s">
        <v>721</v>
      </c>
      <c r="D282" s="13" t="s">
        <v>722</v>
      </c>
      <c r="E282" s="10">
        <v>1171344816</v>
      </c>
      <c r="F282" t="s">
        <v>35</v>
      </c>
      <c r="G282" t="s">
        <v>723</v>
      </c>
      <c r="H282" s="14">
        <v>2</v>
      </c>
      <c r="I282" s="10" t="s">
        <v>28</v>
      </c>
      <c r="J282" s="1">
        <v>45574</v>
      </c>
      <c r="K282" s="1">
        <v>45608</v>
      </c>
      <c r="L282" s="25">
        <f ca="1">CLIENTES[[#This Row],[Fecha Vencimiento]]-$J$6</f>
        <v>13</v>
      </c>
      <c r="N282" s="1" t="str">
        <f t="shared" ca="1" si="8"/>
        <v>Al dia</v>
      </c>
      <c r="O282" s="19">
        <v>45547</v>
      </c>
      <c r="P282" s="2"/>
      <c r="Q282" s="2">
        <f t="shared" si="9"/>
        <v>-45547</v>
      </c>
    </row>
    <row r="283" spans="3:17" x14ac:dyDescent="0.25">
      <c r="C283" s="13" t="s">
        <v>724</v>
      </c>
      <c r="D283" s="13" t="s">
        <v>725</v>
      </c>
      <c r="E283" s="10">
        <v>1126523827</v>
      </c>
      <c r="F283" t="s">
        <v>35</v>
      </c>
      <c r="G283" t="s">
        <v>726</v>
      </c>
      <c r="H283" s="14">
        <v>1</v>
      </c>
      <c r="I283" s="10" t="s">
        <v>28</v>
      </c>
      <c r="J283" s="1">
        <v>45570</v>
      </c>
      <c r="K283" s="1">
        <v>45601</v>
      </c>
      <c r="L283" s="25">
        <f ca="1">CLIENTES[[#This Row],[Fecha Vencimiento]]-$J$6</f>
        <v>6</v>
      </c>
      <c r="N283" s="1" t="str">
        <f t="shared" ca="1" si="8"/>
        <v>Al dia</v>
      </c>
      <c r="O283" s="19">
        <v>45570</v>
      </c>
      <c r="P283" s="2"/>
      <c r="Q283" s="2">
        <f t="shared" si="9"/>
        <v>-45570</v>
      </c>
    </row>
    <row r="284" spans="3:17" x14ac:dyDescent="0.25">
      <c r="C284" s="13" t="s">
        <v>727</v>
      </c>
      <c r="D284" s="13" t="s">
        <v>374</v>
      </c>
      <c r="E284" s="10" t="s">
        <v>3106</v>
      </c>
      <c r="F284" t="s">
        <v>35</v>
      </c>
      <c r="G284" t="s">
        <v>728</v>
      </c>
      <c r="I284" s="10" t="s">
        <v>28</v>
      </c>
      <c r="J284" s="1">
        <v>45514</v>
      </c>
      <c r="K284" s="1">
        <v>45542</v>
      </c>
      <c r="L284" s="25">
        <f ca="1">CLIENTES[[#This Row],[Fecha Vencimiento]]-$J$6</f>
        <v>-53</v>
      </c>
      <c r="N284" s="1" t="str">
        <f t="shared" ca="1" si="8"/>
        <v>Vencido</v>
      </c>
      <c r="O284" s="19"/>
      <c r="P284" s="2"/>
      <c r="Q284" s="2">
        <f t="shared" si="9"/>
        <v>0</v>
      </c>
    </row>
    <row r="285" spans="3:17" x14ac:dyDescent="0.25">
      <c r="C285" s="13" t="s">
        <v>729</v>
      </c>
      <c r="D285" s="13" t="s">
        <v>730</v>
      </c>
      <c r="F285" t="s">
        <v>35</v>
      </c>
      <c r="G285" t="s">
        <v>731</v>
      </c>
      <c r="I285" s="10" t="s">
        <v>28</v>
      </c>
      <c r="J285" s="1">
        <v>45486</v>
      </c>
      <c r="K285" s="1">
        <v>45517</v>
      </c>
      <c r="L285" s="25">
        <f ca="1">CLIENTES[[#This Row],[Fecha Vencimiento]]-$J$6</f>
        <v>-78</v>
      </c>
      <c r="N285" s="1" t="str">
        <f t="shared" ca="1" si="8"/>
        <v>Vencido</v>
      </c>
      <c r="O285" s="19"/>
      <c r="P285" s="2"/>
      <c r="Q285" s="2">
        <f t="shared" si="9"/>
        <v>0</v>
      </c>
    </row>
    <row r="286" spans="3:17" x14ac:dyDescent="0.25">
      <c r="C286" s="13" t="s">
        <v>732</v>
      </c>
      <c r="D286" s="13" t="s">
        <v>733</v>
      </c>
      <c r="E286" s="10">
        <v>1156996138</v>
      </c>
      <c r="F286" t="s">
        <v>35</v>
      </c>
      <c r="G286" t="s">
        <v>734</v>
      </c>
      <c r="H286" s="14">
        <v>1</v>
      </c>
      <c r="I286" s="10" t="s">
        <v>28</v>
      </c>
      <c r="J286" s="1">
        <v>45586</v>
      </c>
      <c r="K286" s="1">
        <v>45609</v>
      </c>
      <c r="L286" s="25">
        <f ca="1">CLIENTES[[#This Row],[Fecha Vencimiento]]-$J$6</f>
        <v>14</v>
      </c>
      <c r="N286" s="1" t="str">
        <f t="shared" ca="1" si="8"/>
        <v>Al dia</v>
      </c>
      <c r="O286" s="19"/>
      <c r="P286" s="2"/>
      <c r="Q286" s="2">
        <f t="shared" si="9"/>
        <v>0</v>
      </c>
    </row>
    <row r="287" spans="3:17" x14ac:dyDescent="0.25">
      <c r="C287" s="13" t="s">
        <v>735</v>
      </c>
      <c r="D287" s="13" t="s">
        <v>736</v>
      </c>
      <c r="E287" s="10" t="s">
        <v>3106</v>
      </c>
      <c r="F287" t="s">
        <v>35</v>
      </c>
      <c r="G287" t="s">
        <v>737</v>
      </c>
      <c r="H287" s="14">
        <v>1</v>
      </c>
      <c r="I287" s="10" t="s">
        <v>28</v>
      </c>
      <c r="J287" s="1">
        <v>45542</v>
      </c>
      <c r="K287" s="1">
        <v>45572</v>
      </c>
      <c r="L287" s="25">
        <f ca="1">CLIENTES[[#This Row],[Fecha Vencimiento]]-$J$6</f>
        <v>-23</v>
      </c>
      <c r="N287" s="1" t="str">
        <f t="shared" ca="1" si="8"/>
        <v>Vencido</v>
      </c>
      <c r="O287" s="19">
        <v>45542</v>
      </c>
      <c r="P287" s="2"/>
      <c r="Q287" s="2">
        <f t="shared" si="9"/>
        <v>-45542</v>
      </c>
    </row>
    <row r="288" spans="3:17" x14ac:dyDescent="0.25">
      <c r="C288" s="13" t="s">
        <v>738</v>
      </c>
      <c r="D288" s="13" t="s">
        <v>739</v>
      </c>
      <c r="E288" s="10">
        <v>1124884027</v>
      </c>
      <c r="F288" t="s">
        <v>35</v>
      </c>
      <c r="G288" t="s">
        <v>740</v>
      </c>
      <c r="H288" s="14">
        <v>4</v>
      </c>
      <c r="I288" s="10" t="s">
        <v>28</v>
      </c>
      <c r="J288" s="1">
        <v>45584</v>
      </c>
      <c r="K288" s="1">
        <v>45615</v>
      </c>
      <c r="L288" s="25">
        <f ca="1">CLIENTES[[#This Row],[Fecha Vencimiento]]-$J$6</f>
        <v>20</v>
      </c>
      <c r="N288" s="1" t="str">
        <f t="shared" ca="1" si="8"/>
        <v>Al dia</v>
      </c>
      <c r="O288" s="19"/>
      <c r="P288" s="2"/>
      <c r="Q288" s="2">
        <f t="shared" si="9"/>
        <v>0</v>
      </c>
    </row>
    <row r="289" spans="3:17" x14ac:dyDescent="0.25">
      <c r="C289" s="13" t="s">
        <v>738</v>
      </c>
      <c r="D289" s="13" t="s">
        <v>741</v>
      </c>
      <c r="E289" s="10">
        <v>1125064711</v>
      </c>
      <c r="F289" t="s">
        <v>232</v>
      </c>
      <c r="G289" t="s">
        <v>742</v>
      </c>
      <c r="H289" s="14">
        <v>1</v>
      </c>
      <c r="I289" s="10" t="s">
        <v>28</v>
      </c>
      <c r="J289" s="1">
        <v>45540</v>
      </c>
      <c r="K289" s="1">
        <v>45570</v>
      </c>
      <c r="L289" s="25">
        <f ca="1">CLIENTES[[#This Row],[Fecha Vencimiento]]-$J$6</f>
        <v>-25</v>
      </c>
      <c r="N289" s="1" t="str">
        <f t="shared" ca="1" si="8"/>
        <v>Vencido</v>
      </c>
      <c r="O289" s="19"/>
      <c r="P289" s="2"/>
      <c r="Q289" s="2">
        <f t="shared" si="9"/>
        <v>0</v>
      </c>
    </row>
    <row r="290" spans="3:17" x14ac:dyDescent="0.25">
      <c r="C290" s="13" t="s">
        <v>738</v>
      </c>
      <c r="D290" s="13" t="s">
        <v>743</v>
      </c>
      <c r="F290" t="s">
        <v>35</v>
      </c>
      <c r="G290" t="s">
        <v>744</v>
      </c>
      <c r="H290" s="14">
        <v>1</v>
      </c>
      <c r="I290" s="10" t="s">
        <v>28</v>
      </c>
      <c r="J290" s="1">
        <v>45573</v>
      </c>
      <c r="K290" s="1">
        <v>45604</v>
      </c>
      <c r="L290" s="25">
        <f ca="1">CLIENTES[[#This Row],[Fecha Vencimiento]]-$J$6</f>
        <v>9</v>
      </c>
      <c r="N290" s="1" t="str">
        <f t="shared" ca="1" si="8"/>
        <v>Al dia</v>
      </c>
      <c r="O290" s="19">
        <v>45573</v>
      </c>
      <c r="P290" s="2"/>
      <c r="Q290" s="2">
        <f t="shared" si="9"/>
        <v>-45573</v>
      </c>
    </row>
    <row r="291" spans="3:17" x14ac:dyDescent="0.25">
      <c r="C291" s="13" t="s">
        <v>745</v>
      </c>
      <c r="D291" s="13" t="s">
        <v>746</v>
      </c>
      <c r="E291" s="10" t="s">
        <v>2931</v>
      </c>
      <c r="F291" t="s">
        <v>35</v>
      </c>
      <c r="G291" t="s">
        <v>747</v>
      </c>
      <c r="H291" s="14">
        <v>1</v>
      </c>
      <c r="I291" s="10" t="s">
        <v>28</v>
      </c>
      <c r="J291" s="1">
        <v>45548</v>
      </c>
      <c r="K291" s="1">
        <v>45578</v>
      </c>
      <c r="L291" s="25">
        <f ca="1">CLIENTES[[#This Row],[Fecha Vencimiento]]-$J$6</f>
        <v>-17</v>
      </c>
      <c r="N291" s="1" t="str">
        <f t="shared" ca="1" si="8"/>
        <v>Vencido</v>
      </c>
      <c r="O291" s="19">
        <v>45548</v>
      </c>
      <c r="P291" s="2"/>
      <c r="Q291" s="2">
        <f t="shared" si="9"/>
        <v>-45548</v>
      </c>
    </row>
    <row r="292" spans="3:17" x14ac:dyDescent="0.25">
      <c r="C292" s="13" t="s">
        <v>748</v>
      </c>
      <c r="D292" s="13" t="s">
        <v>749</v>
      </c>
      <c r="E292" s="10">
        <v>1172327357</v>
      </c>
      <c r="F292" t="s">
        <v>35</v>
      </c>
      <c r="G292" t="s">
        <v>750</v>
      </c>
      <c r="H292" s="14">
        <v>2</v>
      </c>
      <c r="I292" s="10" t="s">
        <v>28</v>
      </c>
      <c r="J292" s="1">
        <v>45566</v>
      </c>
      <c r="K292" s="1">
        <v>45599</v>
      </c>
      <c r="L292" s="25">
        <f ca="1">CLIENTES[[#This Row],[Fecha Vencimiento]]-$J$6</f>
        <v>4</v>
      </c>
      <c r="N292" s="1" t="str">
        <f t="shared" ca="1" si="8"/>
        <v>Al dia</v>
      </c>
      <c r="O292" s="19">
        <v>45538</v>
      </c>
      <c r="P292" s="2"/>
      <c r="Q292" s="2">
        <f t="shared" si="9"/>
        <v>-45538</v>
      </c>
    </row>
    <row r="293" spans="3:17" x14ac:dyDescent="0.25">
      <c r="C293" s="13" t="s">
        <v>748</v>
      </c>
      <c r="D293" s="13" t="s">
        <v>751</v>
      </c>
      <c r="E293" s="10">
        <v>1165612917</v>
      </c>
      <c r="F293" t="s">
        <v>35</v>
      </c>
      <c r="G293" t="s">
        <v>752</v>
      </c>
      <c r="H293" s="14">
        <v>6</v>
      </c>
      <c r="I293" s="10" t="s">
        <v>28</v>
      </c>
      <c r="J293" s="1">
        <v>45537</v>
      </c>
      <c r="K293" s="1">
        <v>45568</v>
      </c>
      <c r="L293" s="25">
        <f ca="1">CLIENTES[[#This Row],[Fecha Vencimiento]]-$J$6</f>
        <v>-27</v>
      </c>
      <c r="N293" s="1" t="str">
        <f t="shared" ca="1" si="8"/>
        <v>Vencido</v>
      </c>
      <c r="O293" s="19"/>
      <c r="P293" s="2"/>
      <c r="Q293" s="2">
        <f t="shared" si="9"/>
        <v>0</v>
      </c>
    </row>
    <row r="294" spans="3:17" x14ac:dyDescent="0.25">
      <c r="C294" s="13" t="s">
        <v>753</v>
      </c>
      <c r="D294" s="13" t="s">
        <v>754</v>
      </c>
      <c r="E294" s="10">
        <v>1169715568</v>
      </c>
      <c r="F294" t="s">
        <v>35</v>
      </c>
      <c r="G294" t="s">
        <v>755</v>
      </c>
      <c r="I294" s="10" t="s">
        <v>28</v>
      </c>
      <c r="J294" s="1">
        <v>45503</v>
      </c>
      <c r="K294" s="1">
        <v>45534</v>
      </c>
      <c r="L294" s="25">
        <f ca="1">CLIENTES[[#This Row],[Fecha Vencimiento]]-$J$6</f>
        <v>-61</v>
      </c>
      <c r="N294" s="1" t="str">
        <f t="shared" ca="1" si="8"/>
        <v>Vencido</v>
      </c>
      <c r="O294" s="19"/>
      <c r="P294" s="2"/>
      <c r="Q294" s="2">
        <f t="shared" si="9"/>
        <v>0</v>
      </c>
    </row>
    <row r="295" spans="3:17" x14ac:dyDescent="0.25">
      <c r="C295" s="13" t="s">
        <v>756</v>
      </c>
      <c r="D295" s="13" t="s">
        <v>757</v>
      </c>
      <c r="E295" s="10">
        <v>1169323888</v>
      </c>
      <c r="F295" t="s">
        <v>35</v>
      </c>
      <c r="G295" t="s">
        <v>758</v>
      </c>
      <c r="H295" s="14">
        <v>2</v>
      </c>
      <c r="I295" s="10" t="s">
        <v>28</v>
      </c>
      <c r="J295" s="1">
        <v>45531</v>
      </c>
      <c r="K295" s="1">
        <v>45560</v>
      </c>
      <c r="L295" s="25">
        <f ca="1">CLIENTES[[#This Row],[Fecha Vencimiento]]-$J$6</f>
        <v>-35</v>
      </c>
      <c r="N295" s="1" t="str">
        <f t="shared" ca="1" si="8"/>
        <v>Vencido</v>
      </c>
      <c r="O295" s="19"/>
      <c r="P295" s="2"/>
      <c r="Q295" s="2">
        <f t="shared" si="9"/>
        <v>0</v>
      </c>
    </row>
    <row r="296" spans="3:17" x14ac:dyDescent="0.25">
      <c r="C296" s="13" t="s">
        <v>756</v>
      </c>
      <c r="D296" s="13" t="s">
        <v>759</v>
      </c>
      <c r="E296" s="10">
        <v>1136200284</v>
      </c>
      <c r="F296" t="s">
        <v>35</v>
      </c>
      <c r="G296" t="s">
        <v>760</v>
      </c>
      <c r="H296" s="14">
        <v>4</v>
      </c>
      <c r="I296" s="10" t="s">
        <v>28</v>
      </c>
      <c r="J296" s="1">
        <v>45559</v>
      </c>
      <c r="K296" s="1">
        <v>45589</v>
      </c>
      <c r="L296" s="25">
        <f ca="1">CLIENTES[[#This Row],[Fecha Vencimiento]]-$J$6</f>
        <v>-6</v>
      </c>
      <c r="N296" s="1" t="str">
        <f t="shared" ca="1" si="8"/>
        <v>Vencido</v>
      </c>
      <c r="O296" s="19"/>
      <c r="P296" s="2"/>
      <c r="Q296" s="2">
        <f t="shared" si="9"/>
        <v>0</v>
      </c>
    </row>
    <row r="297" spans="3:17" x14ac:dyDescent="0.25">
      <c r="C297" s="13" t="s">
        <v>756</v>
      </c>
      <c r="D297" s="13" t="s">
        <v>761</v>
      </c>
      <c r="F297" t="s">
        <v>35</v>
      </c>
      <c r="G297" t="s">
        <v>762</v>
      </c>
      <c r="I297" s="10" t="s">
        <v>28</v>
      </c>
      <c r="J297" s="1">
        <v>45477</v>
      </c>
      <c r="K297" s="1">
        <v>45503</v>
      </c>
      <c r="L297" s="25">
        <f ca="1">CLIENTES[[#This Row],[Fecha Vencimiento]]-$J$6</f>
        <v>-92</v>
      </c>
      <c r="N297" s="1" t="str">
        <f t="shared" ca="1" si="8"/>
        <v>Vencido</v>
      </c>
      <c r="O297" s="19"/>
      <c r="P297" s="2"/>
      <c r="Q297" s="2">
        <f t="shared" si="9"/>
        <v>0</v>
      </c>
    </row>
    <row r="298" spans="3:17" x14ac:dyDescent="0.25">
      <c r="C298" s="13" t="s">
        <v>756</v>
      </c>
      <c r="D298" s="13" t="s">
        <v>763</v>
      </c>
      <c r="F298" t="s">
        <v>35</v>
      </c>
      <c r="G298" t="s">
        <v>764</v>
      </c>
      <c r="H298" s="14">
        <v>1</v>
      </c>
      <c r="I298" s="10" t="s">
        <v>28</v>
      </c>
      <c r="J298" s="1">
        <v>45570</v>
      </c>
      <c r="K298" s="1">
        <v>45601</v>
      </c>
      <c r="L298" s="25">
        <f ca="1">CLIENTES[[#This Row],[Fecha Vencimiento]]-$J$6</f>
        <v>6</v>
      </c>
      <c r="N298" s="1" t="str">
        <f t="shared" ca="1" si="8"/>
        <v>Al dia</v>
      </c>
      <c r="O298" s="19">
        <v>45570</v>
      </c>
      <c r="P298" s="2"/>
      <c r="Q298" s="2">
        <f t="shared" si="9"/>
        <v>-45570</v>
      </c>
    </row>
    <row r="299" spans="3:17" x14ac:dyDescent="0.25">
      <c r="C299" s="13" t="s">
        <v>765</v>
      </c>
      <c r="D299" s="13" t="s">
        <v>766</v>
      </c>
      <c r="E299" s="10">
        <v>1157936239</v>
      </c>
      <c r="F299" t="s">
        <v>35</v>
      </c>
      <c r="G299" t="s">
        <v>767</v>
      </c>
      <c r="H299" s="14">
        <v>3</v>
      </c>
      <c r="I299" s="10" t="s">
        <v>28</v>
      </c>
      <c r="J299" s="1">
        <v>45583</v>
      </c>
      <c r="K299" s="1">
        <v>45618</v>
      </c>
      <c r="L299" s="25">
        <f ca="1">CLIENTES[[#This Row],[Fecha Vencimiento]]-$J$6</f>
        <v>23</v>
      </c>
      <c r="N299" s="1" t="str">
        <f t="shared" ca="1" si="8"/>
        <v>Al dia</v>
      </c>
      <c r="O299" s="19"/>
      <c r="P299" s="2"/>
      <c r="Q299" s="2">
        <f t="shared" si="9"/>
        <v>0</v>
      </c>
    </row>
    <row r="300" spans="3:17" x14ac:dyDescent="0.25">
      <c r="C300" s="13" t="s">
        <v>768</v>
      </c>
      <c r="D300" s="13" t="s">
        <v>769</v>
      </c>
      <c r="F300" t="s">
        <v>35</v>
      </c>
      <c r="G300" t="s">
        <v>770</v>
      </c>
      <c r="H300" s="14">
        <v>1</v>
      </c>
      <c r="I300" s="10" t="s">
        <v>28</v>
      </c>
      <c r="J300" s="1">
        <v>45585</v>
      </c>
      <c r="K300" s="1">
        <v>45616</v>
      </c>
      <c r="L300" s="25">
        <f ca="1">CLIENTES[[#This Row],[Fecha Vencimiento]]-$J$6</f>
        <v>21</v>
      </c>
      <c r="N300" s="1" t="str">
        <f t="shared" ca="1" si="8"/>
        <v>Al dia</v>
      </c>
      <c r="O300" s="19">
        <v>45585</v>
      </c>
      <c r="P300" s="2"/>
      <c r="Q300" s="2">
        <f t="shared" si="9"/>
        <v>-45585</v>
      </c>
    </row>
    <row r="301" spans="3:17" x14ac:dyDescent="0.25">
      <c r="C301" s="13" t="s">
        <v>771</v>
      </c>
      <c r="D301" s="13" t="s">
        <v>772</v>
      </c>
      <c r="E301" s="10">
        <v>1138670603</v>
      </c>
      <c r="F301" t="s">
        <v>35</v>
      </c>
      <c r="G301" t="s">
        <v>773</v>
      </c>
      <c r="H301" s="14">
        <v>2</v>
      </c>
      <c r="I301" s="10" t="s">
        <v>28</v>
      </c>
      <c r="J301" s="1">
        <v>45570</v>
      </c>
      <c r="K301" s="1">
        <v>45601</v>
      </c>
      <c r="L301" s="25">
        <f ca="1">CLIENTES[[#This Row],[Fecha Vencimiento]]-$J$6</f>
        <v>6</v>
      </c>
      <c r="N301" s="1" t="str">
        <f t="shared" ca="1" si="8"/>
        <v>Al dia</v>
      </c>
      <c r="O301" s="19">
        <v>45540</v>
      </c>
      <c r="P301" s="2"/>
      <c r="Q301" s="2">
        <f t="shared" si="9"/>
        <v>-45540</v>
      </c>
    </row>
    <row r="302" spans="3:17" x14ac:dyDescent="0.25">
      <c r="C302" s="13" t="s">
        <v>771</v>
      </c>
      <c r="D302" s="13" t="s">
        <v>774</v>
      </c>
      <c r="F302" t="s">
        <v>35</v>
      </c>
      <c r="G302" t="s">
        <v>775</v>
      </c>
      <c r="H302" s="14">
        <v>1</v>
      </c>
      <c r="I302" s="10" t="s">
        <v>28</v>
      </c>
      <c r="J302" s="1">
        <v>45578</v>
      </c>
      <c r="K302" s="1">
        <v>45609</v>
      </c>
      <c r="L302" s="25">
        <f ca="1">CLIENTES[[#This Row],[Fecha Vencimiento]]-$J$6</f>
        <v>14</v>
      </c>
      <c r="N302" s="1" t="str">
        <f t="shared" ca="1" si="8"/>
        <v>Al dia</v>
      </c>
      <c r="O302" s="19">
        <v>45578</v>
      </c>
      <c r="P302" s="2"/>
      <c r="Q302" s="2">
        <f t="shared" si="9"/>
        <v>-45578</v>
      </c>
    </row>
    <row r="303" spans="3:17" x14ac:dyDescent="0.25">
      <c r="C303" s="13" t="s">
        <v>776</v>
      </c>
      <c r="D303" s="13" t="s">
        <v>777</v>
      </c>
      <c r="E303" s="10">
        <v>1131205266</v>
      </c>
      <c r="F303" t="s">
        <v>35</v>
      </c>
      <c r="G303" t="s">
        <v>778</v>
      </c>
      <c r="H303" s="14">
        <v>1</v>
      </c>
      <c r="I303" s="10" t="s">
        <v>28</v>
      </c>
      <c r="J303" s="1">
        <v>45565</v>
      </c>
      <c r="K303" s="1">
        <v>45595</v>
      </c>
      <c r="L303" s="25">
        <f ca="1">CLIENTES[[#This Row],[Fecha Vencimiento]]-$J$6</f>
        <v>0</v>
      </c>
      <c r="N303" s="1" t="str">
        <f t="shared" ca="1" si="8"/>
        <v>Vence hoy</v>
      </c>
      <c r="O303" s="19">
        <v>45565</v>
      </c>
      <c r="P303" s="2"/>
      <c r="Q303" s="2">
        <f t="shared" si="9"/>
        <v>-45565</v>
      </c>
    </row>
    <row r="304" spans="3:17" x14ac:dyDescent="0.25">
      <c r="C304" s="13" t="s">
        <v>776</v>
      </c>
      <c r="D304" s="13" t="s">
        <v>777</v>
      </c>
      <c r="F304" t="s">
        <v>35</v>
      </c>
      <c r="G304" t="s">
        <v>779</v>
      </c>
      <c r="H304" s="14">
        <v>1</v>
      </c>
      <c r="I304" s="10" t="s">
        <v>28</v>
      </c>
      <c r="J304" s="1">
        <v>45568</v>
      </c>
      <c r="K304" s="1">
        <v>45599</v>
      </c>
      <c r="L304" s="25">
        <f ca="1">CLIENTES[[#This Row],[Fecha Vencimiento]]-$J$6</f>
        <v>4</v>
      </c>
      <c r="N304" s="1" t="str">
        <f t="shared" ca="1" si="8"/>
        <v>Al dia</v>
      </c>
      <c r="O304" s="19">
        <v>45568</v>
      </c>
      <c r="P304" s="2"/>
      <c r="Q304" s="2">
        <f t="shared" si="9"/>
        <v>-45568</v>
      </c>
    </row>
    <row r="305" spans="3:17" x14ac:dyDescent="0.25">
      <c r="C305" s="13" t="s">
        <v>780</v>
      </c>
      <c r="D305" s="13" t="s">
        <v>781</v>
      </c>
      <c r="E305" s="10">
        <v>1159637251</v>
      </c>
      <c r="F305" t="s">
        <v>35</v>
      </c>
      <c r="G305" t="s">
        <v>782</v>
      </c>
      <c r="H305" s="14">
        <v>6</v>
      </c>
      <c r="I305" s="10" t="s">
        <v>28</v>
      </c>
      <c r="J305" s="1">
        <v>45577</v>
      </c>
      <c r="K305" s="1">
        <v>45602</v>
      </c>
      <c r="L305" s="25">
        <f ca="1">CLIENTES[[#This Row],[Fecha Vencimiento]]-$J$6</f>
        <v>7</v>
      </c>
      <c r="N305" s="1" t="str">
        <f t="shared" ca="1" si="8"/>
        <v>Al dia</v>
      </c>
      <c r="O305" s="19"/>
      <c r="P305" s="2"/>
      <c r="Q305" s="2">
        <f t="shared" si="9"/>
        <v>0</v>
      </c>
    </row>
    <row r="306" spans="3:17" x14ac:dyDescent="0.25">
      <c r="C306" s="13" t="s">
        <v>783</v>
      </c>
      <c r="D306" s="13" t="s">
        <v>784</v>
      </c>
      <c r="F306" t="s">
        <v>35</v>
      </c>
      <c r="G306" t="s">
        <v>785</v>
      </c>
      <c r="H306" s="14">
        <v>4</v>
      </c>
      <c r="I306" s="10" t="s">
        <v>28</v>
      </c>
      <c r="J306" s="1">
        <v>45573</v>
      </c>
      <c r="K306" s="1">
        <v>45606</v>
      </c>
      <c r="L306" s="25">
        <f ca="1">CLIENTES[[#This Row],[Fecha Vencimiento]]-$J$6</f>
        <v>11</v>
      </c>
      <c r="N306" s="1" t="str">
        <f t="shared" ca="1" si="8"/>
        <v>Al dia</v>
      </c>
      <c r="O306" s="19"/>
      <c r="P306" s="2"/>
      <c r="Q306" s="2">
        <f t="shared" si="9"/>
        <v>0</v>
      </c>
    </row>
    <row r="307" spans="3:17" x14ac:dyDescent="0.25">
      <c r="C307" s="13" t="s">
        <v>783</v>
      </c>
      <c r="D307" s="13" t="s">
        <v>786</v>
      </c>
      <c r="E307" s="10">
        <v>1161052955</v>
      </c>
      <c r="F307" t="s">
        <v>35</v>
      </c>
      <c r="G307" t="s">
        <v>787</v>
      </c>
      <c r="H307" s="14">
        <v>7</v>
      </c>
      <c r="I307" s="10" t="s">
        <v>28</v>
      </c>
      <c r="J307" s="1">
        <v>45584</v>
      </c>
      <c r="K307" s="1">
        <v>45618</v>
      </c>
      <c r="L307" s="25">
        <f ca="1">CLIENTES[[#This Row],[Fecha Vencimiento]]-$J$6</f>
        <v>23</v>
      </c>
      <c r="N307" s="1" t="str">
        <f t="shared" ca="1" si="8"/>
        <v>Al dia</v>
      </c>
      <c r="O307" s="19"/>
      <c r="P307" s="2"/>
      <c r="Q307" s="2">
        <f t="shared" si="9"/>
        <v>0</v>
      </c>
    </row>
    <row r="308" spans="3:17" x14ac:dyDescent="0.25">
      <c r="C308" s="13" t="s">
        <v>788</v>
      </c>
      <c r="D308" s="13" t="s">
        <v>789</v>
      </c>
      <c r="E308" s="10">
        <v>1132822727</v>
      </c>
      <c r="F308" t="s">
        <v>35</v>
      </c>
      <c r="G308" t="s">
        <v>790</v>
      </c>
      <c r="H308" s="14">
        <v>7</v>
      </c>
      <c r="I308" s="10" t="s">
        <v>28</v>
      </c>
      <c r="J308" s="1">
        <v>45577</v>
      </c>
      <c r="K308" s="1">
        <v>45610</v>
      </c>
      <c r="L308" s="25">
        <f ca="1">CLIENTES[[#This Row],[Fecha Vencimiento]]-$J$6</f>
        <v>15</v>
      </c>
      <c r="N308" s="1" t="str">
        <f t="shared" ca="1" si="8"/>
        <v>Al dia</v>
      </c>
      <c r="O308" s="19"/>
      <c r="P308" s="2"/>
      <c r="Q308" s="2">
        <f t="shared" si="9"/>
        <v>0</v>
      </c>
    </row>
    <row r="309" spans="3:17" x14ac:dyDescent="0.25">
      <c r="C309" s="13" t="s">
        <v>791</v>
      </c>
      <c r="D309" s="13" t="s">
        <v>792</v>
      </c>
      <c r="E309" s="10">
        <v>1130646471</v>
      </c>
      <c r="F309" t="s">
        <v>35</v>
      </c>
      <c r="G309" t="s">
        <v>793</v>
      </c>
      <c r="H309" s="14">
        <v>2</v>
      </c>
      <c r="I309" s="10" t="s">
        <v>28</v>
      </c>
      <c r="J309" s="1">
        <v>45569</v>
      </c>
      <c r="K309" s="1">
        <v>45600</v>
      </c>
      <c r="L309" s="25">
        <f ca="1">CLIENTES[[#This Row],[Fecha Vencimiento]]-$J$6</f>
        <v>5</v>
      </c>
      <c r="N309" s="1" t="str">
        <f t="shared" ca="1" si="8"/>
        <v>Al dia</v>
      </c>
      <c r="O309" s="19">
        <v>45539</v>
      </c>
      <c r="P309" s="2"/>
      <c r="Q309" s="2">
        <f t="shared" si="9"/>
        <v>-45539</v>
      </c>
    </row>
    <row r="310" spans="3:17" x14ac:dyDescent="0.25">
      <c r="C310" s="13" t="s">
        <v>794</v>
      </c>
      <c r="D310" s="13" t="s">
        <v>795</v>
      </c>
      <c r="E310" s="10">
        <v>1123930179</v>
      </c>
      <c r="F310" t="s">
        <v>35</v>
      </c>
      <c r="G310" t="s">
        <v>796</v>
      </c>
      <c r="H310" s="14">
        <v>2</v>
      </c>
      <c r="I310" s="10" t="s">
        <v>28</v>
      </c>
      <c r="J310" s="1">
        <v>45588</v>
      </c>
      <c r="K310" s="1">
        <v>45619</v>
      </c>
      <c r="L310" s="25">
        <f ca="1">CLIENTES[[#This Row],[Fecha Vencimiento]]-$J$6</f>
        <v>24</v>
      </c>
      <c r="N310" s="1" t="str">
        <f t="shared" ca="1" si="8"/>
        <v>Al dia</v>
      </c>
      <c r="O310" s="19">
        <v>45558</v>
      </c>
      <c r="P310" s="2"/>
      <c r="Q310" s="2">
        <f t="shared" si="9"/>
        <v>-45558</v>
      </c>
    </row>
    <row r="311" spans="3:17" x14ac:dyDescent="0.25">
      <c r="C311" s="13" t="s">
        <v>797</v>
      </c>
      <c r="D311" s="13" t="s">
        <v>798</v>
      </c>
      <c r="E311" s="10">
        <v>1170011090</v>
      </c>
      <c r="F311" t="s">
        <v>35</v>
      </c>
      <c r="G311" t="s">
        <v>799</v>
      </c>
      <c r="H311" s="14">
        <v>6</v>
      </c>
      <c r="I311" s="10" t="s">
        <v>28</v>
      </c>
      <c r="J311" s="1">
        <v>45586</v>
      </c>
      <c r="K311" s="1">
        <v>45617</v>
      </c>
      <c r="L311" s="25">
        <f ca="1">CLIENTES[[#This Row],[Fecha Vencimiento]]-$J$6</f>
        <v>22</v>
      </c>
      <c r="N311" s="1" t="str">
        <f t="shared" ca="1" si="8"/>
        <v>Al dia</v>
      </c>
      <c r="O311" s="19"/>
      <c r="P311" s="2"/>
      <c r="Q311" s="2">
        <f t="shared" si="9"/>
        <v>0</v>
      </c>
    </row>
    <row r="312" spans="3:17" x14ac:dyDescent="0.25">
      <c r="C312" s="13" t="s">
        <v>800</v>
      </c>
      <c r="D312" s="13"/>
      <c r="I312" s="10"/>
      <c r="J312" s="1"/>
      <c r="K312" s="1"/>
      <c r="L312" s="25">
        <f ca="1">CLIENTES[[#This Row],[Fecha Vencimiento]]-$J$6</f>
        <v>-45595</v>
      </c>
      <c r="N312" s="1" t="str">
        <f t="shared" ca="1" si="8"/>
        <v>Vencido</v>
      </c>
      <c r="O312" s="19"/>
      <c r="P312" s="2"/>
      <c r="Q312" s="2">
        <f t="shared" si="9"/>
        <v>0</v>
      </c>
    </row>
    <row r="313" spans="3:17" x14ac:dyDescent="0.25">
      <c r="C313" s="13" t="s">
        <v>801</v>
      </c>
      <c r="D313" s="13" t="s">
        <v>802</v>
      </c>
      <c r="E313" s="10">
        <v>1167081408</v>
      </c>
      <c r="F313" t="s">
        <v>35</v>
      </c>
      <c r="G313" t="s">
        <v>803</v>
      </c>
      <c r="H313" s="14">
        <v>2</v>
      </c>
      <c r="I313" s="10" t="s">
        <v>28</v>
      </c>
      <c r="J313" s="1">
        <v>45577</v>
      </c>
      <c r="K313" s="1">
        <v>45584</v>
      </c>
      <c r="L313" s="25">
        <f ca="1">CLIENTES[[#This Row],[Fecha Vencimiento]]-$J$6</f>
        <v>-11</v>
      </c>
      <c r="N313" s="1" t="str">
        <f t="shared" ca="1" si="8"/>
        <v>Vencido</v>
      </c>
      <c r="O313" s="19"/>
      <c r="P313" s="2"/>
      <c r="Q313" s="2">
        <f t="shared" si="9"/>
        <v>0</v>
      </c>
    </row>
    <row r="314" spans="3:17" x14ac:dyDescent="0.25">
      <c r="C314" s="13" t="s">
        <v>804</v>
      </c>
      <c r="D314" s="13" t="s">
        <v>805</v>
      </c>
      <c r="E314" s="10">
        <v>1127829258</v>
      </c>
      <c r="F314" t="s">
        <v>35</v>
      </c>
      <c r="G314" t="s">
        <v>806</v>
      </c>
      <c r="H314" s="14">
        <v>4</v>
      </c>
      <c r="I314" s="10" t="s">
        <v>28</v>
      </c>
      <c r="J314" s="1">
        <v>45595</v>
      </c>
      <c r="K314" s="1">
        <v>45623</v>
      </c>
      <c r="L314" s="25">
        <f ca="1">CLIENTES[[#This Row],[Fecha Vencimiento]]-$J$6</f>
        <v>28</v>
      </c>
      <c r="N314" s="1" t="str">
        <f t="shared" ca="1" si="8"/>
        <v>Al dia</v>
      </c>
      <c r="O314" s="19"/>
      <c r="P314" s="2"/>
      <c r="Q314" s="2">
        <f t="shared" si="9"/>
        <v>0</v>
      </c>
    </row>
    <row r="315" spans="3:17" x14ac:dyDescent="0.25">
      <c r="C315" s="13" t="s">
        <v>804</v>
      </c>
      <c r="D315" s="13" t="s">
        <v>805</v>
      </c>
      <c r="E315" s="10">
        <v>1127829258</v>
      </c>
      <c r="F315" t="s">
        <v>35</v>
      </c>
      <c r="G315" t="s">
        <v>807</v>
      </c>
      <c r="H315" s="14">
        <v>6</v>
      </c>
      <c r="I315" s="10" t="s">
        <v>28</v>
      </c>
      <c r="J315" s="1">
        <v>45591</v>
      </c>
      <c r="K315" s="1">
        <v>45618</v>
      </c>
      <c r="L315" s="25">
        <f ca="1">CLIENTES[[#This Row],[Fecha Vencimiento]]-$J$6</f>
        <v>23</v>
      </c>
      <c r="N315" s="1" t="str">
        <f t="shared" ca="1" si="8"/>
        <v>Al dia</v>
      </c>
      <c r="O315" s="19"/>
      <c r="P315" s="2"/>
      <c r="Q315" s="2">
        <f t="shared" si="9"/>
        <v>0</v>
      </c>
    </row>
    <row r="316" spans="3:17" x14ac:dyDescent="0.25">
      <c r="C316" t="s">
        <v>808</v>
      </c>
      <c r="D316" t="s">
        <v>322</v>
      </c>
      <c r="E316" s="10">
        <v>1131064222</v>
      </c>
      <c r="F316" t="s">
        <v>35</v>
      </c>
      <c r="G316" t="s">
        <v>809</v>
      </c>
      <c r="H316" s="14">
        <v>2</v>
      </c>
      <c r="I316" s="10" t="s">
        <v>28</v>
      </c>
      <c r="J316" s="1">
        <v>45580</v>
      </c>
      <c r="K316" s="1">
        <v>45611</v>
      </c>
      <c r="L316" s="25">
        <f ca="1">CLIENTES[[#This Row],[Fecha Vencimiento]]-$J$6</f>
        <v>16</v>
      </c>
      <c r="N316" s="1" t="str">
        <f t="shared" ca="1" si="8"/>
        <v>Al dia</v>
      </c>
      <c r="O316" s="19">
        <v>45553</v>
      </c>
      <c r="P316" s="2"/>
      <c r="Q316" s="2">
        <f t="shared" si="9"/>
        <v>-45553</v>
      </c>
    </row>
    <row r="317" spans="3:17" x14ac:dyDescent="0.25">
      <c r="C317" s="13" t="s">
        <v>810</v>
      </c>
      <c r="D317" s="13" t="s">
        <v>811</v>
      </c>
      <c r="E317" s="10">
        <v>1125758118</v>
      </c>
      <c r="F317" t="s">
        <v>35</v>
      </c>
      <c r="G317" t="s">
        <v>812</v>
      </c>
      <c r="H317" s="14">
        <v>2</v>
      </c>
      <c r="I317" s="10" t="s">
        <v>28</v>
      </c>
      <c r="J317" s="1">
        <v>45544</v>
      </c>
      <c r="K317" s="1">
        <v>45575</v>
      </c>
      <c r="L317" s="25">
        <f ca="1">CLIENTES[[#This Row],[Fecha Vencimiento]]-$J$6</f>
        <v>-20</v>
      </c>
      <c r="N317" s="1" t="str">
        <f t="shared" ca="1" si="8"/>
        <v>Vencido</v>
      </c>
      <c r="O317" s="19"/>
      <c r="P317" s="2"/>
      <c r="Q317" s="2">
        <f t="shared" si="9"/>
        <v>0</v>
      </c>
    </row>
    <row r="318" spans="3:17" x14ac:dyDescent="0.25">
      <c r="C318" s="13" t="s">
        <v>813</v>
      </c>
      <c r="D318" s="13" t="s">
        <v>814</v>
      </c>
      <c r="E318" s="10">
        <v>1132389419</v>
      </c>
      <c r="F318" t="s">
        <v>35</v>
      </c>
      <c r="G318" t="s">
        <v>815</v>
      </c>
      <c r="H318" s="14">
        <v>2</v>
      </c>
      <c r="I318" s="10" t="s">
        <v>28</v>
      </c>
      <c r="J318" s="1">
        <v>45575</v>
      </c>
      <c r="K318" s="1">
        <v>45606</v>
      </c>
      <c r="L318" s="25">
        <f ca="1">CLIENTES[[#This Row],[Fecha Vencimiento]]-$J$6</f>
        <v>11</v>
      </c>
      <c r="N318" s="1" t="str">
        <f t="shared" ca="1" si="8"/>
        <v>Al dia</v>
      </c>
      <c r="O318" s="19"/>
      <c r="P318" s="2"/>
      <c r="Q318" s="2">
        <f t="shared" si="9"/>
        <v>0</v>
      </c>
    </row>
    <row r="319" spans="3:17" x14ac:dyDescent="0.25">
      <c r="C319" s="13" t="s">
        <v>816</v>
      </c>
      <c r="D319" s="13" t="s">
        <v>817</v>
      </c>
      <c r="E319" s="10">
        <v>1156947248</v>
      </c>
      <c r="F319" t="s">
        <v>35</v>
      </c>
      <c r="G319" t="s">
        <v>818</v>
      </c>
      <c r="H319" s="14">
        <v>7</v>
      </c>
      <c r="I319" s="10" t="s">
        <v>28</v>
      </c>
      <c r="J319" s="1">
        <v>45580</v>
      </c>
      <c r="K319" s="1">
        <v>45611</v>
      </c>
      <c r="L319" s="25">
        <f ca="1">CLIENTES[[#This Row],[Fecha Vencimiento]]-$J$6</f>
        <v>16</v>
      </c>
      <c r="N319" s="1" t="str">
        <f t="shared" ca="1" si="8"/>
        <v>Al dia</v>
      </c>
      <c r="O319" s="19"/>
      <c r="P319" s="2"/>
      <c r="Q319" s="2">
        <f t="shared" si="9"/>
        <v>0</v>
      </c>
    </row>
    <row r="320" spans="3:17" x14ac:dyDescent="0.25">
      <c r="C320" s="13" t="s">
        <v>819</v>
      </c>
      <c r="D320" s="13" t="s">
        <v>820</v>
      </c>
      <c r="E320" s="10">
        <v>1156604424</v>
      </c>
      <c r="F320" t="s">
        <v>35</v>
      </c>
      <c r="G320" t="s">
        <v>821</v>
      </c>
      <c r="H320" s="14">
        <v>1</v>
      </c>
      <c r="I320" s="10" t="s">
        <v>28</v>
      </c>
      <c r="J320" s="1">
        <v>45588</v>
      </c>
      <c r="K320" s="1">
        <v>45618</v>
      </c>
      <c r="L320" s="25">
        <f ca="1">CLIENTES[[#This Row],[Fecha Vencimiento]]-$J$6</f>
        <v>23</v>
      </c>
      <c r="N320" s="1" t="str">
        <f t="shared" ca="1" si="8"/>
        <v>Al dia</v>
      </c>
      <c r="O320" s="19"/>
      <c r="P320" s="2"/>
      <c r="Q320" s="2">
        <f t="shared" si="9"/>
        <v>0</v>
      </c>
    </row>
    <row r="321" spans="3:17" x14ac:dyDescent="0.25">
      <c r="C321" s="13" t="s">
        <v>819</v>
      </c>
      <c r="D321" s="13" t="s">
        <v>822</v>
      </c>
      <c r="E321" s="10">
        <v>1141610372</v>
      </c>
      <c r="F321" t="s">
        <v>35</v>
      </c>
      <c r="G321" t="s">
        <v>823</v>
      </c>
      <c r="H321" s="14">
        <v>1</v>
      </c>
      <c r="I321" s="10" t="s">
        <v>28</v>
      </c>
      <c r="J321" s="1">
        <v>45577</v>
      </c>
      <c r="K321" s="1">
        <v>45608</v>
      </c>
      <c r="L321" s="25">
        <f ca="1">CLIENTES[[#This Row],[Fecha Vencimiento]]-$J$6</f>
        <v>13</v>
      </c>
      <c r="N321" s="1" t="str">
        <f t="shared" ca="1" si="8"/>
        <v>Al dia</v>
      </c>
      <c r="O321" s="19">
        <v>45577</v>
      </c>
      <c r="P321" s="2"/>
      <c r="Q321" s="2">
        <f t="shared" si="9"/>
        <v>-45577</v>
      </c>
    </row>
    <row r="322" spans="3:17" x14ac:dyDescent="0.25">
      <c r="C322" s="13" t="s">
        <v>824</v>
      </c>
      <c r="D322" s="13" t="s">
        <v>825</v>
      </c>
      <c r="E322" s="10">
        <v>1124152350</v>
      </c>
      <c r="F322" t="s">
        <v>35</v>
      </c>
      <c r="G322" t="s">
        <v>826</v>
      </c>
      <c r="H322" s="14">
        <v>5</v>
      </c>
      <c r="I322" s="10" t="s">
        <v>28</v>
      </c>
      <c r="J322" s="1">
        <v>45563</v>
      </c>
      <c r="K322" s="1">
        <v>45597</v>
      </c>
      <c r="L322" s="25">
        <f ca="1">CLIENTES[[#This Row],[Fecha Vencimiento]]-$J$6</f>
        <v>2</v>
      </c>
      <c r="N322" s="1" t="str">
        <f t="shared" ca="1" si="8"/>
        <v>Por vencer</v>
      </c>
      <c r="O322" s="19"/>
      <c r="P322" s="2"/>
      <c r="Q322" s="2">
        <f t="shared" si="9"/>
        <v>0</v>
      </c>
    </row>
    <row r="323" spans="3:17" x14ac:dyDescent="0.25">
      <c r="C323" s="13" t="s">
        <v>827</v>
      </c>
      <c r="D323" s="13" t="s">
        <v>828</v>
      </c>
      <c r="E323" s="10" t="s">
        <v>2931</v>
      </c>
      <c r="F323" t="s">
        <v>35</v>
      </c>
      <c r="G323" t="s">
        <v>829</v>
      </c>
      <c r="I323" s="10" t="s">
        <v>28</v>
      </c>
      <c r="J323" s="1">
        <v>45519</v>
      </c>
      <c r="K323" s="1">
        <v>45550</v>
      </c>
      <c r="L323" s="25">
        <f ca="1">CLIENTES[[#This Row],[Fecha Vencimiento]]-$J$6</f>
        <v>-45</v>
      </c>
      <c r="N323" s="1" t="str">
        <f t="shared" ca="1" si="8"/>
        <v>Vencido</v>
      </c>
      <c r="O323" s="19"/>
      <c r="P323" s="2"/>
      <c r="Q323" s="2">
        <f t="shared" si="9"/>
        <v>0</v>
      </c>
    </row>
    <row r="324" spans="3:17" x14ac:dyDescent="0.25">
      <c r="C324" t="s">
        <v>827</v>
      </c>
      <c r="D324" t="s">
        <v>828</v>
      </c>
      <c r="E324" s="10" t="s">
        <v>2931</v>
      </c>
      <c r="F324" t="s">
        <v>35</v>
      </c>
      <c r="G324" t="s">
        <v>511</v>
      </c>
      <c r="H324" s="14">
        <v>1</v>
      </c>
      <c r="I324" s="10" t="s">
        <v>28</v>
      </c>
      <c r="J324" s="1">
        <v>45532</v>
      </c>
      <c r="K324" s="1">
        <v>45563</v>
      </c>
      <c r="L324" s="25">
        <f ca="1">CLIENTES[[#This Row],[Fecha Vencimiento]]-$J$6</f>
        <v>-32</v>
      </c>
      <c r="N324" s="1" t="str">
        <f t="shared" ca="1" si="8"/>
        <v>Vencido</v>
      </c>
      <c r="O324" s="19">
        <v>45532</v>
      </c>
      <c r="P324" s="2"/>
      <c r="Q324" s="2">
        <f t="shared" si="9"/>
        <v>-45532</v>
      </c>
    </row>
    <row r="325" spans="3:17" x14ac:dyDescent="0.25">
      <c r="C325" s="13" t="s">
        <v>830</v>
      </c>
      <c r="D325" s="13" t="s">
        <v>831</v>
      </c>
      <c r="E325" s="10">
        <v>1132473250</v>
      </c>
      <c r="F325" t="s">
        <v>35</v>
      </c>
      <c r="G325" t="s">
        <v>832</v>
      </c>
      <c r="H325" s="14">
        <v>2</v>
      </c>
      <c r="I325" s="10" t="s">
        <v>28</v>
      </c>
      <c r="J325" s="1">
        <v>45575</v>
      </c>
      <c r="K325" s="1">
        <v>45600</v>
      </c>
      <c r="L325" s="25">
        <f ca="1">CLIENTES[[#This Row],[Fecha Vencimiento]]-$J$6</f>
        <v>5</v>
      </c>
      <c r="N325" s="1" t="str">
        <f t="shared" ca="1" si="8"/>
        <v>Al dia</v>
      </c>
      <c r="O325" s="19">
        <v>45539</v>
      </c>
      <c r="P325" s="2"/>
      <c r="Q325" s="2">
        <f t="shared" si="9"/>
        <v>-45539</v>
      </c>
    </row>
    <row r="326" spans="3:17" x14ac:dyDescent="0.25">
      <c r="C326" s="13" t="s">
        <v>830</v>
      </c>
      <c r="D326" s="13" t="s">
        <v>833</v>
      </c>
      <c r="E326" s="10">
        <v>1123502831</v>
      </c>
      <c r="F326" t="s">
        <v>35</v>
      </c>
      <c r="G326" t="s">
        <v>834</v>
      </c>
      <c r="H326" s="14">
        <v>3</v>
      </c>
      <c r="I326" s="10" t="s">
        <v>28</v>
      </c>
      <c r="J326" s="1">
        <v>45590</v>
      </c>
      <c r="K326" s="1">
        <v>45622</v>
      </c>
      <c r="L326" s="25">
        <f ca="1">CLIENTES[[#This Row],[Fecha Vencimiento]]-$J$6</f>
        <v>27</v>
      </c>
      <c r="N326" s="1" t="str">
        <f t="shared" ca="1" si="8"/>
        <v>Al dia</v>
      </c>
      <c r="O326" s="19">
        <v>45528</v>
      </c>
      <c r="P326" s="2"/>
      <c r="Q326" s="2">
        <f t="shared" si="9"/>
        <v>-45528</v>
      </c>
    </row>
    <row r="327" spans="3:17" x14ac:dyDescent="0.25">
      <c r="C327" s="13" t="s">
        <v>830</v>
      </c>
      <c r="D327" s="13" t="s">
        <v>835</v>
      </c>
      <c r="F327" t="s">
        <v>35</v>
      </c>
      <c r="G327" t="s">
        <v>836</v>
      </c>
      <c r="I327" s="10" t="s">
        <v>28</v>
      </c>
      <c r="J327" s="1">
        <v>45492</v>
      </c>
      <c r="K327" s="1">
        <v>45523</v>
      </c>
      <c r="L327" s="25">
        <f ca="1">CLIENTES[[#This Row],[Fecha Vencimiento]]-$J$6</f>
        <v>-72</v>
      </c>
      <c r="N327" s="1" t="str">
        <f t="shared" ca="1" si="8"/>
        <v>Vencido</v>
      </c>
      <c r="O327" s="19"/>
      <c r="P327" s="2"/>
      <c r="Q327" s="2">
        <f t="shared" si="9"/>
        <v>0</v>
      </c>
    </row>
    <row r="328" spans="3:17" x14ac:dyDescent="0.25">
      <c r="C328" s="13" t="s">
        <v>830</v>
      </c>
      <c r="D328" s="13" t="s">
        <v>835</v>
      </c>
      <c r="E328" s="10">
        <v>1132473250</v>
      </c>
      <c r="F328" t="s">
        <v>35</v>
      </c>
      <c r="G328" t="s">
        <v>837</v>
      </c>
      <c r="I328" s="10" t="s">
        <v>28</v>
      </c>
      <c r="J328" s="1">
        <v>45523</v>
      </c>
      <c r="K328" s="1">
        <v>45554</v>
      </c>
      <c r="L328" s="25">
        <f ca="1">CLIENTES[[#This Row],[Fecha Vencimiento]]-$J$6</f>
        <v>-41</v>
      </c>
      <c r="N328" s="1" t="str">
        <f t="shared" ref="N328:N369" ca="1" si="10">IF(L328&lt;0,"Vencido",IF(L328=0,"Vence hoy",IF(L328&lt;4,"Por vencer","Al dia")))</f>
        <v>Vencido</v>
      </c>
      <c r="O328" s="19"/>
      <c r="P328" s="2"/>
      <c r="Q328" s="2">
        <f t="shared" ref="Q328:Q391" si="11">P328-O328</f>
        <v>0</v>
      </c>
    </row>
    <row r="329" spans="3:17" x14ac:dyDescent="0.25">
      <c r="C329" s="13" t="s">
        <v>838</v>
      </c>
      <c r="D329" s="13" t="s">
        <v>839</v>
      </c>
      <c r="E329" s="10" t="s">
        <v>2931</v>
      </c>
      <c r="F329" t="s">
        <v>35</v>
      </c>
      <c r="G329" t="s">
        <v>840</v>
      </c>
      <c r="H329" s="14">
        <v>6</v>
      </c>
      <c r="I329" s="10" t="s">
        <v>28</v>
      </c>
      <c r="J329" s="1">
        <v>45556</v>
      </c>
      <c r="K329" s="1">
        <v>45585</v>
      </c>
      <c r="L329" s="25">
        <f ca="1">CLIENTES[[#This Row],[Fecha Vencimiento]]-$J$6</f>
        <v>-10</v>
      </c>
      <c r="N329" s="1" t="str">
        <f t="shared" ca="1" si="10"/>
        <v>Vencido</v>
      </c>
      <c r="O329" s="19">
        <v>5</v>
      </c>
      <c r="P329" s="2"/>
      <c r="Q329" s="2">
        <f t="shared" si="11"/>
        <v>-5</v>
      </c>
    </row>
    <row r="330" spans="3:17" x14ac:dyDescent="0.25">
      <c r="C330" s="13" t="s">
        <v>841</v>
      </c>
      <c r="D330" s="13" t="s">
        <v>842</v>
      </c>
      <c r="E330" s="10">
        <v>1131458808</v>
      </c>
      <c r="F330" t="s">
        <v>35</v>
      </c>
      <c r="G330" t="s">
        <v>843</v>
      </c>
      <c r="H330" s="14">
        <v>6</v>
      </c>
      <c r="I330" s="10" t="s">
        <v>28</v>
      </c>
      <c r="J330" s="1">
        <v>45587</v>
      </c>
      <c r="K330" s="1">
        <v>45617</v>
      </c>
      <c r="L330" s="25">
        <f ca="1">CLIENTES[[#This Row],[Fecha Vencimiento]]-$J$6</f>
        <v>22</v>
      </c>
      <c r="N330" s="1" t="str">
        <f t="shared" ca="1" si="10"/>
        <v>Al dia</v>
      </c>
      <c r="O330" s="19"/>
      <c r="P330" s="2"/>
      <c r="Q330" s="2">
        <f t="shared" si="11"/>
        <v>0</v>
      </c>
    </row>
    <row r="331" spans="3:17" x14ac:dyDescent="0.25">
      <c r="C331" s="13" t="s">
        <v>844</v>
      </c>
      <c r="D331" s="13" t="s">
        <v>845</v>
      </c>
      <c r="F331" t="s">
        <v>35</v>
      </c>
      <c r="G331" t="s">
        <v>846</v>
      </c>
      <c r="I331" s="10" t="s">
        <v>28</v>
      </c>
      <c r="J331" s="1">
        <v>45472</v>
      </c>
      <c r="K331" s="1">
        <v>45502</v>
      </c>
      <c r="L331" s="25">
        <f ca="1">CLIENTES[[#This Row],[Fecha Vencimiento]]-$J$6</f>
        <v>-93</v>
      </c>
      <c r="N331" s="1" t="str">
        <f t="shared" ca="1" si="10"/>
        <v>Vencido</v>
      </c>
      <c r="O331" s="19"/>
      <c r="P331" s="2"/>
      <c r="Q331" s="2">
        <f t="shared" si="11"/>
        <v>0</v>
      </c>
    </row>
    <row r="332" spans="3:17" x14ac:dyDescent="0.25">
      <c r="C332" s="13" t="s">
        <v>847</v>
      </c>
      <c r="D332" s="13" t="s">
        <v>848</v>
      </c>
      <c r="E332" s="10">
        <v>1169954578</v>
      </c>
      <c r="F332" t="s">
        <v>35</v>
      </c>
      <c r="G332" t="s">
        <v>849</v>
      </c>
      <c r="H332" s="14">
        <v>2</v>
      </c>
      <c r="I332" s="10" t="s">
        <v>28</v>
      </c>
      <c r="J332" s="1">
        <v>45577</v>
      </c>
      <c r="K332" s="1">
        <v>45605</v>
      </c>
      <c r="L332" s="25">
        <f ca="1">CLIENTES[[#This Row],[Fecha Vencimiento]]-$J$6</f>
        <v>10</v>
      </c>
      <c r="N332" s="1" t="str">
        <f t="shared" ca="1" si="10"/>
        <v>Al dia</v>
      </c>
      <c r="O332" s="19">
        <v>45544</v>
      </c>
      <c r="P332" s="2"/>
      <c r="Q332" s="2">
        <f t="shared" si="11"/>
        <v>-45544</v>
      </c>
    </row>
    <row r="333" spans="3:17" x14ac:dyDescent="0.25">
      <c r="C333" s="13" t="s">
        <v>850</v>
      </c>
      <c r="D333" s="13" t="s">
        <v>117</v>
      </c>
      <c r="E333" s="10">
        <v>1165516037</v>
      </c>
      <c r="F333" t="s">
        <v>35</v>
      </c>
      <c r="G333" t="s">
        <v>851</v>
      </c>
      <c r="H333" s="14">
        <v>5</v>
      </c>
      <c r="I333" s="10" t="s">
        <v>28</v>
      </c>
      <c r="J333" s="1">
        <v>45580</v>
      </c>
      <c r="K333" s="1">
        <v>45611</v>
      </c>
      <c r="L333" s="25">
        <f ca="1">CLIENTES[[#This Row],[Fecha Vencimiento]]-$J$6</f>
        <v>16</v>
      </c>
      <c r="N333" s="1" t="str">
        <f t="shared" ca="1" si="10"/>
        <v>Al dia</v>
      </c>
      <c r="O333" s="19"/>
      <c r="P333" s="2"/>
      <c r="Q333" s="2">
        <f t="shared" si="11"/>
        <v>0</v>
      </c>
    </row>
    <row r="334" spans="3:17" x14ac:dyDescent="0.25">
      <c r="C334" s="13" t="s">
        <v>852</v>
      </c>
      <c r="D334" s="13" t="s">
        <v>853</v>
      </c>
      <c r="E334" s="10">
        <v>1161206460</v>
      </c>
      <c r="F334" t="s">
        <v>35</v>
      </c>
      <c r="G334" t="s">
        <v>854</v>
      </c>
      <c r="H334" s="14">
        <v>3</v>
      </c>
      <c r="I334" s="10" t="s">
        <v>28</v>
      </c>
      <c r="J334" s="1">
        <v>45589</v>
      </c>
      <c r="K334" s="1">
        <v>45622</v>
      </c>
      <c r="L334" s="25">
        <f ca="1">CLIENTES[[#This Row],[Fecha Vencimiento]]-$J$6</f>
        <v>27</v>
      </c>
      <c r="N334" s="1" t="str">
        <f t="shared" ca="1" si="10"/>
        <v>Al dia</v>
      </c>
      <c r="O334" s="19"/>
      <c r="P334" s="2"/>
      <c r="Q334" s="2">
        <f t="shared" si="11"/>
        <v>0</v>
      </c>
    </row>
    <row r="335" spans="3:17" x14ac:dyDescent="0.25">
      <c r="C335" s="13" t="s">
        <v>855</v>
      </c>
      <c r="D335" s="13" t="s">
        <v>117</v>
      </c>
      <c r="F335" t="s">
        <v>35</v>
      </c>
      <c r="G335" t="s">
        <v>856</v>
      </c>
      <c r="I335" s="10" t="s">
        <v>28</v>
      </c>
      <c r="J335" s="1">
        <v>45444</v>
      </c>
      <c r="K335" s="1">
        <v>45474</v>
      </c>
      <c r="L335" s="25">
        <f ca="1">CLIENTES[[#This Row],[Fecha Vencimiento]]-$J$6</f>
        <v>-121</v>
      </c>
      <c r="N335" s="1" t="str">
        <f t="shared" ca="1" si="10"/>
        <v>Vencido</v>
      </c>
      <c r="O335" s="19"/>
      <c r="P335" s="2"/>
      <c r="Q335" s="2">
        <f t="shared" si="11"/>
        <v>0</v>
      </c>
    </row>
    <row r="336" spans="3:17" x14ac:dyDescent="0.25">
      <c r="C336" s="13" t="s">
        <v>857</v>
      </c>
      <c r="D336" s="13" t="s">
        <v>858</v>
      </c>
      <c r="F336" t="s">
        <v>35</v>
      </c>
      <c r="G336" t="s">
        <v>859</v>
      </c>
      <c r="I336" s="10" t="s">
        <v>28</v>
      </c>
      <c r="J336" s="1">
        <v>45488</v>
      </c>
      <c r="K336" s="1">
        <v>45519</v>
      </c>
      <c r="L336" s="25">
        <f ca="1">CLIENTES[[#This Row],[Fecha Vencimiento]]-$J$6</f>
        <v>-76</v>
      </c>
      <c r="N336" s="1" t="str">
        <f t="shared" ca="1" si="10"/>
        <v>Vencido</v>
      </c>
      <c r="O336" s="19"/>
      <c r="P336" s="2"/>
      <c r="Q336" s="2">
        <f t="shared" si="11"/>
        <v>0</v>
      </c>
    </row>
    <row r="337" spans="3:17" x14ac:dyDescent="0.25">
      <c r="C337" s="13" t="s">
        <v>857</v>
      </c>
      <c r="D337" s="13" t="s">
        <v>860</v>
      </c>
      <c r="E337" s="10" t="s">
        <v>3106</v>
      </c>
      <c r="F337" t="s">
        <v>35</v>
      </c>
      <c r="G337" t="s">
        <v>861</v>
      </c>
      <c r="H337" s="14">
        <v>5</v>
      </c>
      <c r="I337" s="10" t="s">
        <v>28</v>
      </c>
      <c r="J337" s="1">
        <v>45575</v>
      </c>
      <c r="K337" s="1">
        <v>45604</v>
      </c>
      <c r="L337" s="25">
        <f ca="1">CLIENTES[[#This Row],[Fecha Vencimiento]]-$J$6</f>
        <v>9</v>
      </c>
      <c r="N337" s="1" t="str">
        <f t="shared" ca="1" si="10"/>
        <v>Al dia</v>
      </c>
      <c r="O337" s="19"/>
      <c r="P337" s="2"/>
      <c r="Q337" s="2">
        <f t="shared" si="11"/>
        <v>0</v>
      </c>
    </row>
    <row r="338" spans="3:17" x14ac:dyDescent="0.25">
      <c r="C338" s="13" t="s">
        <v>857</v>
      </c>
      <c r="D338" s="13" t="s">
        <v>862</v>
      </c>
      <c r="E338" s="10">
        <v>1156967377</v>
      </c>
      <c r="F338" t="s">
        <v>35</v>
      </c>
      <c r="G338" t="s">
        <v>863</v>
      </c>
      <c r="H338" s="14">
        <v>5</v>
      </c>
      <c r="I338" s="10" t="s">
        <v>28</v>
      </c>
      <c r="J338" s="1">
        <v>45542</v>
      </c>
      <c r="K338" s="1">
        <v>45568</v>
      </c>
      <c r="L338" s="25">
        <f ca="1">CLIENTES[[#This Row],[Fecha Vencimiento]]-$J$6</f>
        <v>-27</v>
      </c>
      <c r="N338" s="1" t="str">
        <f t="shared" ca="1" si="10"/>
        <v>Vencido</v>
      </c>
      <c r="O338" s="19"/>
      <c r="P338" s="2"/>
      <c r="Q338" s="2">
        <f t="shared" si="11"/>
        <v>0</v>
      </c>
    </row>
    <row r="339" spans="3:17" x14ac:dyDescent="0.25">
      <c r="C339" s="13" t="s">
        <v>857</v>
      </c>
      <c r="D339" s="13" t="s">
        <v>864</v>
      </c>
      <c r="E339" s="10" t="s">
        <v>2931</v>
      </c>
      <c r="F339" t="s">
        <v>35</v>
      </c>
      <c r="G339" t="s">
        <v>865</v>
      </c>
      <c r="H339" s="14">
        <v>2</v>
      </c>
      <c r="I339" s="10" t="s">
        <v>28</v>
      </c>
      <c r="J339" s="1">
        <v>45554</v>
      </c>
      <c r="K339" s="1">
        <v>45580</v>
      </c>
      <c r="L339" s="25">
        <f ca="1">CLIENTES[[#This Row],[Fecha Vencimiento]]-$J$6</f>
        <v>-15</v>
      </c>
      <c r="N339" s="1" t="str">
        <f t="shared" ca="1" si="10"/>
        <v>Vencido</v>
      </c>
      <c r="O339" s="19"/>
      <c r="P339" s="2"/>
      <c r="Q339" s="2">
        <f t="shared" si="11"/>
        <v>0</v>
      </c>
    </row>
    <row r="340" spans="3:17" x14ac:dyDescent="0.25">
      <c r="C340" s="13" t="s">
        <v>857</v>
      </c>
      <c r="D340" s="13" t="s">
        <v>866</v>
      </c>
      <c r="E340" s="10">
        <v>1166023460</v>
      </c>
      <c r="F340" t="s">
        <v>35</v>
      </c>
      <c r="G340" t="s">
        <v>867</v>
      </c>
      <c r="H340" s="14">
        <v>3</v>
      </c>
      <c r="I340" s="10" t="s">
        <v>28</v>
      </c>
      <c r="J340" s="1">
        <v>45574</v>
      </c>
      <c r="K340" s="1">
        <v>45605</v>
      </c>
      <c r="L340" s="25">
        <f ca="1">CLIENTES[[#This Row],[Fecha Vencimiento]]-$J$6</f>
        <v>10</v>
      </c>
      <c r="N340" s="1" t="str">
        <f t="shared" ca="1" si="10"/>
        <v>Al dia</v>
      </c>
      <c r="O340" s="19"/>
      <c r="P340" s="2"/>
      <c r="Q340" s="2">
        <f t="shared" si="11"/>
        <v>0</v>
      </c>
    </row>
    <row r="341" spans="3:17" x14ac:dyDescent="0.25">
      <c r="C341" s="13" t="s">
        <v>857</v>
      </c>
      <c r="D341" s="13" t="s">
        <v>868</v>
      </c>
      <c r="E341" s="10">
        <v>1140875382</v>
      </c>
      <c r="F341" t="s">
        <v>35</v>
      </c>
      <c r="G341" t="s">
        <v>869</v>
      </c>
      <c r="H341" s="14">
        <v>2</v>
      </c>
      <c r="I341" s="10" t="s">
        <v>28</v>
      </c>
      <c r="J341" s="1">
        <v>45573</v>
      </c>
      <c r="K341" s="1">
        <v>45602</v>
      </c>
      <c r="L341" s="25">
        <f ca="1">CLIENTES[[#This Row],[Fecha Vencimiento]]-$J$6</f>
        <v>7</v>
      </c>
      <c r="N341" s="1" t="str">
        <f t="shared" ca="1" si="10"/>
        <v>Al dia</v>
      </c>
      <c r="O341" s="19">
        <v>45541</v>
      </c>
      <c r="P341" s="2"/>
      <c r="Q341" s="2">
        <f t="shared" si="11"/>
        <v>-45541</v>
      </c>
    </row>
    <row r="342" spans="3:17" x14ac:dyDescent="0.25">
      <c r="C342" s="13" t="s">
        <v>857</v>
      </c>
      <c r="D342" s="13" t="s">
        <v>374</v>
      </c>
      <c r="E342" s="10" t="s">
        <v>2931</v>
      </c>
      <c r="F342" t="s">
        <v>35</v>
      </c>
      <c r="G342" t="s">
        <v>870</v>
      </c>
      <c r="H342" s="14">
        <v>3</v>
      </c>
      <c r="I342" s="10" t="s">
        <v>28</v>
      </c>
      <c r="J342" s="1">
        <v>45593</v>
      </c>
      <c r="K342" s="1">
        <v>45625</v>
      </c>
      <c r="L342" s="25">
        <f ca="1">CLIENTES[[#This Row],[Fecha Vencimiento]]-$J$6</f>
        <v>30</v>
      </c>
      <c r="N342" s="1" t="str">
        <f t="shared" ca="1" si="10"/>
        <v>Al dia</v>
      </c>
      <c r="O342" s="19">
        <v>45533</v>
      </c>
      <c r="P342" s="2"/>
      <c r="Q342" s="2">
        <f t="shared" si="11"/>
        <v>-45533</v>
      </c>
    </row>
    <row r="343" spans="3:17" x14ac:dyDescent="0.25">
      <c r="C343" s="13" t="s">
        <v>857</v>
      </c>
      <c r="D343" s="13" t="s">
        <v>871</v>
      </c>
      <c r="E343" s="10">
        <v>1167372420</v>
      </c>
      <c r="F343" t="s">
        <v>35</v>
      </c>
      <c r="G343" t="s">
        <v>872</v>
      </c>
      <c r="H343" s="14">
        <v>1</v>
      </c>
      <c r="I343" s="10" t="s">
        <v>28</v>
      </c>
      <c r="J343" s="1">
        <v>45569</v>
      </c>
      <c r="K343" s="1">
        <v>45600</v>
      </c>
      <c r="L343" s="25">
        <f ca="1">CLIENTES[[#This Row],[Fecha Vencimiento]]-$J$6</f>
        <v>5</v>
      </c>
      <c r="N343" s="1" t="str">
        <f t="shared" ca="1" si="10"/>
        <v>Al dia</v>
      </c>
      <c r="O343" s="19">
        <v>45569</v>
      </c>
      <c r="P343" s="2"/>
      <c r="Q343" s="2">
        <f t="shared" si="11"/>
        <v>-45569</v>
      </c>
    </row>
    <row r="344" spans="3:17" x14ac:dyDescent="0.25">
      <c r="C344" s="13" t="s">
        <v>857</v>
      </c>
      <c r="D344" s="13" t="s">
        <v>117</v>
      </c>
      <c r="E344" s="10">
        <v>1163723453</v>
      </c>
      <c r="F344" t="s">
        <v>35</v>
      </c>
      <c r="G344" t="s">
        <v>873</v>
      </c>
      <c r="H344" s="14">
        <v>2</v>
      </c>
      <c r="I344" s="10" t="s">
        <v>28</v>
      </c>
      <c r="J344" s="1">
        <v>45584</v>
      </c>
      <c r="K344" s="1">
        <v>45615</v>
      </c>
      <c r="L344" s="25">
        <f ca="1">CLIENTES[[#This Row],[Fecha Vencimiento]]-$J$6</f>
        <v>20</v>
      </c>
      <c r="N344" s="1" t="str">
        <f t="shared" ca="1" si="10"/>
        <v>Al dia</v>
      </c>
      <c r="O344" s="19"/>
      <c r="P344" s="2"/>
      <c r="Q344" s="2">
        <f t="shared" si="11"/>
        <v>0</v>
      </c>
    </row>
    <row r="345" spans="3:17" x14ac:dyDescent="0.25">
      <c r="C345" s="13" t="s">
        <v>857</v>
      </c>
      <c r="D345" s="13" t="s">
        <v>874</v>
      </c>
      <c r="E345" s="10">
        <v>1144352981</v>
      </c>
      <c r="F345" t="s">
        <v>35</v>
      </c>
      <c r="G345" t="s">
        <v>875</v>
      </c>
      <c r="H345" s="14">
        <v>2</v>
      </c>
      <c r="I345" s="10" t="s">
        <v>28</v>
      </c>
      <c r="J345" s="1">
        <v>45573</v>
      </c>
      <c r="K345" s="1">
        <v>45604</v>
      </c>
      <c r="L345" s="25">
        <f ca="1">CLIENTES[[#This Row],[Fecha Vencimiento]]-$J$6</f>
        <v>9</v>
      </c>
      <c r="N345" s="1" t="str">
        <f t="shared" ca="1" si="10"/>
        <v>Al dia</v>
      </c>
      <c r="O345" s="19"/>
      <c r="P345" s="2"/>
      <c r="Q345" s="2">
        <f t="shared" si="11"/>
        <v>0</v>
      </c>
    </row>
    <row r="346" spans="3:17" x14ac:dyDescent="0.25">
      <c r="C346" s="13" t="s">
        <v>857</v>
      </c>
      <c r="D346" s="13" t="s">
        <v>876</v>
      </c>
      <c r="E346" s="10">
        <v>1124821048</v>
      </c>
      <c r="F346" t="s">
        <v>35</v>
      </c>
      <c r="G346" t="s">
        <v>877</v>
      </c>
      <c r="I346" s="10" t="s">
        <v>28</v>
      </c>
      <c r="J346" s="1">
        <v>45514</v>
      </c>
      <c r="K346" s="1">
        <v>45545</v>
      </c>
      <c r="L346" s="25">
        <f ca="1">CLIENTES[[#This Row],[Fecha Vencimiento]]-$J$6</f>
        <v>-50</v>
      </c>
      <c r="N346" s="1" t="str">
        <f t="shared" ca="1" si="10"/>
        <v>Vencido</v>
      </c>
      <c r="O346" s="19"/>
      <c r="P346" s="2"/>
      <c r="Q346" s="2">
        <f t="shared" si="11"/>
        <v>0</v>
      </c>
    </row>
    <row r="347" spans="3:17" x14ac:dyDescent="0.25">
      <c r="C347" s="13" t="s">
        <v>857</v>
      </c>
      <c r="D347" s="13" t="s">
        <v>297</v>
      </c>
      <c r="E347" s="10" t="s">
        <v>2931</v>
      </c>
      <c r="F347" t="s">
        <v>35</v>
      </c>
      <c r="G347" t="s">
        <v>878</v>
      </c>
      <c r="H347" s="14">
        <v>1</v>
      </c>
      <c r="I347" s="10" t="s">
        <v>28</v>
      </c>
      <c r="J347" s="1">
        <v>45575</v>
      </c>
      <c r="K347" s="1">
        <v>45600</v>
      </c>
      <c r="L347" s="25">
        <f ca="1">CLIENTES[[#This Row],[Fecha Vencimiento]]-$J$6</f>
        <v>5</v>
      </c>
      <c r="N347" s="1" t="str">
        <f t="shared" ca="1" si="10"/>
        <v>Al dia</v>
      </c>
      <c r="O347" s="19"/>
      <c r="P347" s="2"/>
      <c r="Q347" s="2">
        <f t="shared" si="11"/>
        <v>0</v>
      </c>
    </row>
    <row r="348" spans="3:17" x14ac:dyDescent="0.25">
      <c r="C348" s="13" t="s">
        <v>857</v>
      </c>
      <c r="D348" s="13" t="s">
        <v>117</v>
      </c>
      <c r="F348" t="s">
        <v>35</v>
      </c>
      <c r="G348" t="s">
        <v>879</v>
      </c>
      <c r="H348" s="14">
        <v>1</v>
      </c>
      <c r="I348" s="10" t="s">
        <v>28</v>
      </c>
      <c r="J348" s="1">
        <v>45577</v>
      </c>
      <c r="K348" s="1">
        <v>45608</v>
      </c>
      <c r="L348" s="25">
        <f ca="1">CLIENTES[[#This Row],[Fecha Vencimiento]]-$J$6</f>
        <v>13</v>
      </c>
      <c r="N348" s="1" t="str">
        <f t="shared" ca="1" si="10"/>
        <v>Al dia</v>
      </c>
      <c r="O348" s="19">
        <v>45577</v>
      </c>
      <c r="P348" s="2"/>
      <c r="Q348" s="2">
        <f t="shared" si="11"/>
        <v>-45577</v>
      </c>
    </row>
    <row r="349" spans="3:17" x14ac:dyDescent="0.25">
      <c r="C349" s="13" t="s">
        <v>880</v>
      </c>
      <c r="D349" s="13" t="s">
        <v>881</v>
      </c>
      <c r="F349" t="s">
        <v>232</v>
      </c>
      <c r="G349" t="s">
        <v>882</v>
      </c>
      <c r="H349" s="14">
        <v>1</v>
      </c>
      <c r="I349" s="10" t="s">
        <v>183</v>
      </c>
      <c r="J349" s="1">
        <v>45474</v>
      </c>
      <c r="K349" s="1">
        <v>45505</v>
      </c>
      <c r="L349" s="25">
        <f ca="1">CLIENTES[[#This Row],[Fecha Vencimiento]]-$J$6</f>
        <v>-90</v>
      </c>
      <c r="N349" s="1" t="str">
        <f t="shared" ca="1" si="10"/>
        <v>Vencido</v>
      </c>
      <c r="O349" s="19"/>
      <c r="P349" s="2"/>
      <c r="Q349" s="2">
        <f t="shared" si="11"/>
        <v>0</v>
      </c>
    </row>
    <row r="350" spans="3:17" x14ac:dyDescent="0.25">
      <c r="C350" s="13" t="s">
        <v>883</v>
      </c>
      <c r="D350" s="13" t="s">
        <v>884</v>
      </c>
      <c r="E350" s="10">
        <v>1140608734</v>
      </c>
      <c r="F350" t="s">
        <v>35</v>
      </c>
      <c r="G350" t="s">
        <v>885</v>
      </c>
      <c r="H350" s="14">
        <v>6</v>
      </c>
      <c r="I350" s="10" t="s">
        <v>28</v>
      </c>
      <c r="J350" s="1">
        <v>45566</v>
      </c>
      <c r="K350" s="1">
        <v>45600</v>
      </c>
      <c r="L350" s="25">
        <f ca="1">CLIENTES[[#This Row],[Fecha Vencimiento]]-$J$6</f>
        <v>5</v>
      </c>
      <c r="N350" s="1" t="str">
        <f t="shared" ca="1" si="10"/>
        <v>Al dia</v>
      </c>
      <c r="O350" s="19"/>
      <c r="P350" s="2"/>
      <c r="Q350" s="2">
        <f t="shared" si="11"/>
        <v>0</v>
      </c>
    </row>
    <row r="351" spans="3:17" x14ac:dyDescent="0.25">
      <c r="C351" s="13" t="s">
        <v>886</v>
      </c>
      <c r="D351" s="13" t="s">
        <v>887</v>
      </c>
      <c r="E351" s="10">
        <v>1149169653</v>
      </c>
      <c r="F351" t="s">
        <v>159</v>
      </c>
      <c r="G351" t="s">
        <v>888</v>
      </c>
      <c r="H351" s="14">
        <v>4</v>
      </c>
      <c r="I351" s="10" t="s">
        <v>183</v>
      </c>
      <c r="J351" s="1">
        <v>45566</v>
      </c>
      <c r="K351" s="1">
        <v>45597</v>
      </c>
      <c r="L351" s="25">
        <f ca="1">CLIENTES[[#This Row],[Fecha Vencimiento]]-$J$6</f>
        <v>2</v>
      </c>
      <c r="N351" s="1" t="str">
        <f t="shared" ca="1" si="10"/>
        <v>Por vencer</v>
      </c>
      <c r="O351" s="19"/>
      <c r="P351" s="2"/>
      <c r="Q351" s="2">
        <f t="shared" si="11"/>
        <v>0</v>
      </c>
    </row>
    <row r="352" spans="3:17" x14ac:dyDescent="0.25">
      <c r="C352" s="13" t="s">
        <v>886</v>
      </c>
      <c r="D352" s="13" t="s">
        <v>543</v>
      </c>
      <c r="E352" s="10" t="s">
        <v>3110</v>
      </c>
      <c r="F352" t="s">
        <v>35</v>
      </c>
      <c r="G352" t="s">
        <v>889</v>
      </c>
      <c r="H352" s="14">
        <v>1</v>
      </c>
      <c r="I352" s="10" t="s">
        <v>28</v>
      </c>
      <c r="J352" s="1">
        <v>45580</v>
      </c>
      <c r="K352" s="1">
        <v>45608</v>
      </c>
      <c r="L352" s="25">
        <f ca="1">CLIENTES[[#This Row],[Fecha Vencimiento]]-$J$6</f>
        <v>13</v>
      </c>
      <c r="N352" s="1" t="str">
        <f t="shared" ca="1" si="10"/>
        <v>Al dia</v>
      </c>
      <c r="O352" s="19"/>
      <c r="P352" s="2"/>
      <c r="Q352" s="2">
        <f t="shared" si="11"/>
        <v>0</v>
      </c>
    </row>
    <row r="353" spans="3:17" x14ac:dyDescent="0.25">
      <c r="C353" s="13" t="s">
        <v>886</v>
      </c>
      <c r="D353" s="13" t="s">
        <v>890</v>
      </c>
      <c r="E353" s="10" t="s">
        <v>891</v>
      </c>
      <c r="F353" t="s">
        <v>35</v>
      </c>
      <c r="G353" t="s">
        <v>892</v>
      </c>
      <c r="H353" s="14">
        <v>6</v>
      </c>
      <c r="I353" s="10" t="s">
        <v>28</v>
      </c>
      <c r="J353" s="1">
        <v>45538</v>
      </c>
      <c r="K353" s="1">
        <v>45588</v>
      </c>
      <c r="L353" s="25">
        <f ca="1">CLIENTES[[#This Row],[Fecha Vencimiento]]-$J$6</f>
        <v>-7</v>
      </c>
      <c r="N353" s="1" t="str">
        <f t="shared" ca="1" si="10"/>
        <v>Vencido</v>
      </c>
      <c r="O353" s="19"/>
      <c r="P353" s="2"/>
      <c r="Q353" s="2">
        <f t="shared" si="11"/>
        <v>0</v>
      </c>
    </row>
    <row r="354" spans="3:17" x14ac:dyDescent="0.25">
      <c r="C354" s="13" t="s">
        <v>886</v>
      </c>
      <c r="D354" s="13" t="s">
        <v>893</v>
      </c>
      <c r="E354" s="10">
        <v>1162585958</v>
      </c>
      <c r="F354" t="s">
        <v>35</v>
      </c>
      <c r="G354" t="s">
        <v>894</v>
      </c>
      <c r="H354" s="14">
        <v>1</v>
      </c>
      <c r="I354" s="10" t="s">
        <v>28</v>
      </c>
      <c r="J354" s="1">
        <v>45588</v>
      </c>
      <c r="K354" s="1">
        <v>45620</v>
      </c>
      <c r="L354" s="25">
        <f ca="1">CLIENTES[[#This Row],[Fecha Vencimiento]]-$J$6</f>
        <v>25</v>
      </c>
      <c r="N354" s="1" t="str">
        <f t="shared" ca="1" si="10"/>
        <v>Al dia</v>
      </c>
      <c r="O354" s="19"/>
      <c r="P354" s="2"/>
      <c r="Q354" s="2">
        <f t="shared" si="11"/>
        <v>0</v>
      </c>
    </row>
    <row r="355" spans="3:17" x14ac:dyDescent="0.25">
      <c r="C355" s="13" t="s">
        <v>886</v>
      </c>
      <c r="D355" s="13" t="s">
        <v>895</v>
      </c>
      <c r="E355" s="10">
        <v>1164172309</v>
      </c>
      <c r="F355" t="s">
        <v>35</v>
      </c>
      <c r="G355" t="s">
        <v>896</v>
      </c>
      <c r="H355" s="14">
        <v>1</v>
      </c>
      <c r="I355" s="10" t="s">
        <v>28</v>
      </c>
      <c r="J355" s="1">
        <v>45584</v>
      </c>
      <c r="K355" s="1">
        <v>45615</v>
      </c>
      <c r="L355" s="25">
        <f ca="1">CLIENTES[[#This Row],[Fecha Vencimiento]]-$J$6</f>
        <v>20</v>
      </c>
      <c r="N355" s="1" t="str">
        <f t="shared" ca="1" si="10"/>
        <v>Al dia</v>
      </c>
      <c r="O355" s="19">
        <v>45584</v>
      </c>
      <c r="P355" s="2"/>
      <c r="Q355" s="2">
        <f t="shared" si="11"/>
        <v>-45584</v>
      </c>
    </row>
    <row r="356" spans="3:17" x14ac:dyDescent="0.25">
      <c r="C356" s="13" t="s">
        <v>897</v>
      </c>
      <c r="D356" s="13" t="s">
        <v>898</v>
      </c>
      <c r="F356" t="s">
        <v>35</v>
      </c>
      <c r="G356" t="s">
        <v>899</v>
      </c>
      <c r="H356" s="14">
        <v>4</v>
      </c>
      <c r="I356" s="10" t="s">
        <v>28</v>
      </c>
      <c r="J356" s="1">
        <v>45570</v>
      </c>
      <c r="K356" s="1">
        <v>45636</v>
      </c>
      <c r="L356" s="25">
        <f ca="1">CLIENTES[[#This Row],[Fecha Vencimiento]]-$J$6</f>
        <v>41</v>
      </c>
      <c r="N356" s="1" t="str">
        <f t="shared" ca="1" si="10"/>
        <v>Al dia</v>
      </c>
      <c r="O356" s="19"/>
      <c r="P356" s="2"/>
      <c r="Q356" s="2">
        <f t="shared" si="11"/>
        <v>0</v>
      </c>
    </row>
    <row r="357" spans="3:17" x14ac:dyDescent="0.25">
      <c r="C357" s="13" t="s">
        <v>897</v>
      </c>
      <c r="D357" s="13" t="s">
        <v>900</v>
      </c>
      <c r="F357" t="s">
        <v>35</v>
      </c>
      <c r="G357" t="s">
        <v>901</v>
      </c>
      <c r="H357" s="14">
        <v>6</v>
      </c>
      <c r="I357" s="10" t="s">
        <v>28</v>
      </c>
      <c r="J357" s="1">
        <v>45509</v>
      </c>
      <c r="K357" s="1">
        <v>45545</v>
      </c>
      <c r="L357" s="25">
        <f ca="1">CLIENTES[[#This Row],[Fecha Vencimiento]]-$J$6</f>
        <v>-50</v>
      </c>
      <c r="N357" s="1" t="str">
        <f t="shared" ca="1" si="10"/>
        <v>Vencido</v>
      </c>
      <c r="O357" s="19"/>
      <c r="P357" s="2"/>
      <c r="Q357" s="2">
        <f t="shared" si="11"/>
        <v>0</v>
      </c>
    </row>
    <row r="358" spans="3:17" x14ac:dyDescent="0.25">
      <c r="C358" s="13" t="s">
        <v>902</v>
      </c>
      <c r="D358" s="13" t="s">
        <v>903</v>
      </c>
      <c r="E358" s="10" t="s">
        <v>2931</v>
      </c>
      <c r="F358" t="s">
        <v>35</v>
      </c>
      <c r="G358" t="s">
        <v>904</v>
      </c>
      <c r="H358" s="14">
        <v>2</v>
      </c>
      <c r="I358" s="10" t="s">
        <v>28</v>
      </c>
      <c r="J358" s="1">
        <v>45581</v>
      </c>
      <c r="K358" s="1">
        <v>45612</v>
      </c>
      <c r="L358" s="25">
        <f ca="1">CLIENTES[[#This Row],[Fecha Vencimiento]]-$J$6</f>
        <v>17</v>
      </c>
      <c r="N358" s="1" t="str">
        <f t="shared" ca="1" si="10"/>
        <v>Al dia</v>
      </c>
      <c r="O358" s="19"/>
      <c r="P358" s="2"/>
      <c r="Q358" s="2">
        <f t="shared" si="11"/>
        <v>0</v>
      </c>
    </row>
    <row r="359" spans="3:17" x14ac:dyDescent="0.25">
      <c r="C359" s="13" t="s">
        <v>902</v>
      </c>
      <c r="D359" s="13" t="s">
        <v>249</v>
      </c>
      <c r="E359" s="10">
        <v>1158290411</v>
      </c>
      <c r="F359" t="s">
        <v>35</v>
      </c>
      <c r="G359" t="s">
        <v>905</v>
      </c>
      <c r="H359" s="14">
        <v>2</v>
      </c>
      <c r="I359" s="10" t="s">
        <v>28</v>
      </c>
      <c r="J359" s="1">
        <v>45586</v>
      </c>
      <c r="K359" s="1">
        <v>45617</v>
      </c>
      <c r="L359" s="25">
        <f ca="1">CLIENTES[[#This Row],[Fecha Vencimiento]]-$J$6</f>
        <v>22</v>
      </c>
      <c r="N359" s="1" t="str">
        <f t="shared" ca="1" si="10"/>
        <v>Al dia</v>
      </c>
      <c r="O359" s="19"/>
      <c r="P359" s="2"/>
      <c r="Q359" s="2">
        <f t="shared" si="11"/>
        <v>0</v>
      </c>
    </row>
    <row r="360" spans="3:17" x14ac:dyDescent="0.25">
      <c r="C360" s="13" t="s">
        <v>906</v>
      </c>
      <c r="D360" s="13" t="s">
        <v>907</v>
      </c>
      <c r="E360" s="10" t="s">
        <v>2931</v>
      </c>
      <c r="F360" t="s">
        <v>35</v>
      </c>
      <c r="G360" t="s">
        <v>908</v>
      </c>
      <c r="H360" s="14">
        <v>3</v>
      </c>
      <c r="I360" s="10" t="s">
        <v>28</v>
      </c>
      <c r="J360" s="1">
        <v>45546</v>
      </c>
      <c r="K360" s="1">
        <v>45576</v>
      </c>
      <c r="L360" s="25">
        <f ca="1">CLIENTES[[#This Row],[Fecha Vencimiento]]-$J$6</f>
        <v>-19</v>
      </c>
      <c r="N360" s="1" t="str">
        <f t="shared" ca="1" si="10"/>
        <v>Vencido</v>
      </c>
      <c r="O360" s="19"/>
      <c r="P360" s="2"/>
      <c r="Q360" s="2">
        <f t="shared" si="11"/>
        <v>0</v>
      </c>
    </row>
    <row r="361" spans="3:17" x14ac:dyDescent="0.25">
      <c r="C361" s="13" t="s">
        <v>909</v>
      </c>
      <c r="D361" s="13" t="s">
        <v>910</v>
      </c>
      <c r="F361" t="s">
        <v>35</v>
      </c>
      <c r="G361" t="s">
        <v>911</v>
      </c>
      <c r="I361" s="10" t="s">
        <v>28</v>
      </c>
      <c r="J361" s="1">
        <v>45499</v>
      </c>
      <c r="K361" s="1">
        <v>45530</v>
      </c>
      <c r="L361" s="25">
        <f ca="1">CLIENTES[[#This Row],[Fecha Vencimiento]]-$J$6</f>
        <v>-65</v>
      </c>
      <c r="N361" s="1" t="str">
        <f t="shared" ca="1" si="10"/>
        <v>Vencido</v>
      </c>
      <c r="O361" s="19"/>
      <c r="P361" s="2"/>
      <c r="Q361" s="2">
        <f t="shared" si="11"/>
        <v>0</v>
      </c>
    </row>
    <row r="362" spans="3:17" x14ac:dyDescent="0.25">
      <c r="C362" s="13" t="s">
        <v>912</v>
      </c>
      <c r="D362" s="13" t="s">
        <v>913</v>
      </c>
      <c r="E362" s="10">
        <v>1150142862</v>
      </c>
      <c r="F362" t="s">
        <v>35</v>
      </c>
      <c r="G362" t="s">
        <v>914</v>
      </c>
      <c r="H362" s="14">
        <v>4</v>
      </c>
      <c r="I362" s="10" t="s">
        <v>28</v>
      </c>
      <c r="J362" s="1">
        <v>45591</v>
      </c>
      <c r="K362" s="1">
        <v>45625</v>
      </c>
      <c r="L362" s="25">
        <f ca="1">CLIENTES[[#This Row],[Fecha Vencimiento]]-$J$6</f>
        <v>30</v>
      </c>
      <c r="N362" s="1" t="str">
        <f t="shared" ca="1" si="10"/>
        <v>Al dia</v>
      </c>
      <c r="O362" s="19"/>
      <c r="P362" s="2"/>
      <c r="Q362" s="2">
        <f t="shared" si="11"/>
        <v>0</v>
      </c>
    </row>
    <row r="363" spans="3:17" x14ac:dyDescent="0.25">
      <c r="C363" s="13" t="s">
        <v>912</v>
      </c>
      <c r="D363" s="13" t="s">
        <v>913</v>
      </c>
      <c r="F363" t="s">
        <v>35</v>
      </c>
      <c r="G363" t="s">
        <v>915</v>
      </c>
      <c r="H363" s="14">
        <v>1</v>
      </c>
      <c r="I363" s="10" t="s">
        <v>28</v>
      </c>
      <c r="J363" s="1">
        <v>45569</v>
      </c>
      <c r="K363" s="1">
        <v>45600</v>
      </c>
      <c r="L363" s="25">
        <f ca="1">CLIENTES[[#This Row],[Fecha Vencimiento]]-$J$6</f>
        <v>5</v>
      </c>
      <c r="N363" s="1" t="str">
        <f t="shared" ca="1" si="10"/>
        <v>Al dia</v>
      </c>
      <c r="O363" s="19">
        <v>45569</v>
      </c>
      <c r="P363" s="2"/>
      <c r="Q363" s="2">
        <f t="shared" si="11"/>
        <v>-45569</v>
      </c>
    </row>
    <row r="364" spans="3:17" x14ac:dyDescent="0.25">
      <c r="C364" s="13" t="s">
        <v>916</v>
      </c>
      <c r="D364" s="13" t="s">
        <v>917</v>
      </c>
      <c r="E364" s="10">
        <v>1164947430</v>
      </c>
      <c r="F364" t="s">
        <v>35</v>
      </c>
      <c r="G364" t="s">
        <v>918</v>
      </c>
      <c r="H364" s="14">
        <v>3</v>
      </c>
      <c r="I364" s="10" t="s">
        <v>28</v>
      </c>
      <c r="J364" s="1">
        <v>45588</v>
      </c>
      <c r="K364" s="1">
        <v>45619</v>
      </c>
      <c r="L364" s="25">
        <f ca="1">CLIENTES[[#This Row],[Fecha Vencimiento]]-$J$6</f>
        <v>24</v>
      </c>
      <c r="N364" s="1" t="str">
        <f t="shared" ca="1" si="10"/>
        <v>Al dia</v>
      </c>
      <c r="O364" s="19">
        <v>45527</v>
      </c>
      <c r="P364" s="2"/>
      <c r="Q364" s="2">
        <f t="shared" si="11"/>
        <v>-45527</v>
      </c>
    </row>
    <row r="365" spans="3:17" x14ac:dyDescent="0.25">
      <c r="C365" s="13" t="s">
        <v>916</v>
      </c>
      <c r="D365" s="13" t="s">
        <v>919</v>
      </c>
      <c r="E365" s="10">
        <v>1134611524</v>
      </c>
      <c r="F365" t="s">
        <v>35</v>
      </c>
      <c r="G365" t="s">
        <v>920</v>
      </c>
      <c r="H365" s="14">
        <v>5</v>
      </c>
      <c r="I365" s="10" t="s">
        <v>28</v>
      </c>
      <c r="J365" s="1">
        <v>45568</v>
      </c>
      <c r="K365" s="1">
        <v>45599</v>
      </c>
      <c r="L365" s="25">
        <f ca="1">CLIENTES[[#This Row],[Fecha Vencimiento]]-$J$6</f>
        <v>4</v>
      </c>
      <c r="N365" s="1" t="str">
        <f t="shared" ca="1" si="10"/>
        <v>Al dia</v>
      </c>
      <c r="O365" s="19"/>
      <c r="P365" s="2"/>
      <c r="Q365" s="2">
        <f t="shared" si="11"/>
        <v>0</v>
      </c>
    </row>
    <row r="366" spans="3:17" x14ac:dyDescent="0.25">
      <c r="C366" s="13" t="s">
        <v>921</v>
      </c>
      <c r="D366" s="13" t="s">
        <v>922</v>
      </c>
      <c r="F366" t="s">
        <v>35</v>
      </c>
      <c r="G366" t="s">
        <v>923</v>
      </c>
      <c r="I366" s="10" t="s">
        <v>28</v>
      </c>
      <c r="J366" s="1">
        <v>45488</v>
      </c>
      <c r="K366" s="1">
        <v>45516</v>
      </c>
      <c r="L366" s="25">
        <f ca="1">CLIENTES[[#This Row],[Fecha Vencimiento]]-$J$6</f>
        <v>-79</v>
      </c>
      <c r="N366" s="1" t="str">
        <f t="shared" ca="1" si="10"/>
        <v>Vencido</v>
      </c>
      <c r="O366" s="19"/>
      <c r="P366" s="2"/>
      <c r="Q366" s="2">
        <f t="shared" si="11"/>
        <v>0</v>
      </c>
    </row>
    <row r="367" spans="3:17" x14ac:dyDescent="0.25">
      <c r="C367" s="13" t="s">
        <v>924</v>
      </c>
      <c r="D367" s="13" t="s">
        <v>925</v>
      </c>
      <c r="E367" s="10" t="s">
        <v>3117</v>
      </c>
      <c r="F367" t="s">
        <v>35</v>
      </c>
      <c r="G367" t="s">
        <v>926</v>
      </c>
      <c r="H367" s="14">
        <v>2</v>
      </c>
      <c r="I367" s="10" t="s">
        <v>28</v>
      </c>
      <c r="J367" s="1">
        <v>45569</v>
      </c>
      <c r="K367" s="1">
        <v>45602</v>
      </c>
      <c r="L367" s="25">
        <f ca="1">CLIENTES[[#This Row],[Fecha Vencimiento]]-$J$6</f>
        <v>7</v>
      </c>
      <c r="N367" s="1" t="str">
        <f t="shared" ca="1" si="10"/>
        <v>Al dia</v>
      </c>
      <c r="O367" s="19"/>
      <c r="P367" s="2"/>
      <c r="Q367" s="2">
        <f t="shared" si="11"/>
        <v>0</v>
      </c>
    </row>
    <row r="368" spans="3:17" x14ac:dyDescent="0.25">
      <c r="C368" s="13" t="s">
        <v>927</v>
      </c>
      <c r="D368" s="13" t="s">
        <v>928</v>
      </c>
      <c r="E368" s="10">
        <v>1154592823</v>
      </c>
      <c r="F368" t="s">
        <v>35</v>
      </c>
      <c r="G368" t="s">
        <v>929</v>
      </c>
      <c r="I368" s="10" t="s">
        <v>28</v>
      </c>
      <c r="J368" s="1">
        <v>45510</v>
      </c>
      <c r="K368" s="1">
        <v>45541</v>
      </c>
      <c r="L368" s="25">
        <f ca="1">CLIENTES[[#This Row],[Fecha Vencimiento]]-$J$6</f>
        <v>-54</v>
      </c>
      <c r="N368" s="1" t="str">
        <f t="shared" ca="1" si="10"/>
        <v>Vencido</v>
      </c>
      <c r="O368" s="19"/>
      <c r="P368" s="2"/>
      <c r="Q368" s="2">
        <f t="shared" si="11"/>
        <v>0</v>
      </c>
    </row>
    <row r="369" spans="3:17" x14ac:dyDescent="0.25">
      <c r="C369" s="13" t="s">
        <v>930</v>
      </c>
      <c r="D369" s="13" t="s">
        <v>931</v>
      </c>
      <c r="E369" s="10" t="s">
        <v>3118</v>
      </c>
      <c r="F369" t="s">
        <v>35</v>
      </c>
      <c r="G369" t="s">
        <v>932</v>
      </c>
      <c r="H369" s="14">
        <v>4</v>
      </c>
      <c r="I369" s="10" t="s">
        <v>28</v>
      </c>
      <c r="J369" s="1">
        <v>45546</v>
      </c>
      <c r="K369" s="1">
        <v>45575</v>
      </c>
      <c r="L369" s="25">
        <f ca="1">CLIENTES[[#This Row],[Fecha Vencimiento]]-$J$6</f>
        <v>-20</v>
      </c>
      <c r="N369" s="1" t="str">
        <f t="shared" ca="1" si="10"/>
        <v>Vencido</v>
      </c>
      <c r="O369" s="19"/>
      <c r="P369" s="2"/>
      <c r="Q369" s="2">
        <f t="shared" si="11"/>
        <v>0</v>
      </c>
    </row>
    <row r="370" spans="3:17" x14ac:dyDescent="0.25">
      <c r="C370" s="13" t="s">
        <v>933</v>
      </c>
      <c r="D370" s="13" t="s">
        <v>934</v>
      </c>
      <c r="E370" s="10">
        <v>1138209779</v>
      </c>
      <c r="F370" t="s">
        <v>35</v>
      </c>
      <c r="G370" t="s">
        <v>935</v>
      </c>
      <c r="H370" s="14">
        <v>5</v>
      </c>
      <c r="I370" s="10" t="s">
        <v>28</v>
      </c>
      <c r="J370" s="1">
        <v>45563</v>
      </c>
      <c r="K370" s="1">
        <v>45596</v>
      </c>
      <c r="L370" s="25">
        <f ca="1">CLIENTES[[#This Row],[Fecha Vencimiento]]-$J$6</f>
        <v>1</v>
      </c>
      <c r="N370" s="1" t="e">
        <f>IF(#REF!&lt;0,"Vencido",IF(#REF!=0,"Vence hoy",IF(#REF!&lt;4,"Por vencer","Al dia")))</f>
        <v>#REF!</v>
      </c>
      <c r="O370" s="19"/>
      <c r="P370" s="2"/>
      <c r="Q370" s="2">
        <f t="shared" si="11"/>
        <v>0</v>
      </c>
    </row>
    <row r="371" spans="3:17" x14ac:dyDescent="0.25">
      <c r="C371" s="13" t="s">
        <v>933</v>
      </c>
      <c r="D371" s="13" t="s">
        <v>936</v>
      </c>
      <c r="E371" s="10">
        <v>1168162460</v>
      </c>
      <c r="F371" t="s">
        <v>35</v>
      </c>
      <c r="G371" t="s">
        <v>937</v>
      </c>
      <c r="H371" s="14">
        <v>2</v>
      </c>
      <c r="I371" s="10" t="s">
        <v>28</v>
      </c>
      <c r="J371" s="1">
        <v>45574</v>
      </c>
      <c r="K371" s="1">
        <v>45605</v>
      </c>
      <c r="L371" s="25">
        <f ca="1">CLIENTES[[#This Row],[Fecha Vencimiento]]-$J$6</f>
        <v>10</v>
      </c>
      <c r="N371" s="1" t="str">
        <f t="shared" ref="N371:N434" ca="1" si="12">IF(L371&lt;0,"Vencido",IF(L371=0,"Vence hoy",IF(L371&lt;4,"Por vencer","Al dia")))</f>
        <v>Al dia</v>
      </c>
      <c r="O371" s="19">
        <v>45544</v>
      </c>
      <c r="P371" s="2"/>
      <c r="Q371" s="2">
        <f t="shared" si="11"/>
        <v>-45544</v>
      </c>
    </row>
    <row r="372" spans="3:17" x14ac:dyDescent="0.25">
      <c r="C372" s="13" t="s">
        <v>938</v>
      </c>
      <c r="D372" s="13" t="s">
        <v>939</v>
      </c>
      <c r="E372" s="10">
        <v>1159376219</v>
      </c>
      <c r="F372" t="s">
        <v>35</v>
      </c>
      <c r="G372" t="s">
        <v>940</v>
      </c>
      <c r="H372" s="14">
        <v>4</v>
      </c>
      <c r="I372" s="10" t="s">
        <v>28</v>
      </c>
      <c r="J372" s="1" t="s">
        <v>941</v>
      </c>
      <c r="K372" s="1">
        <v>45613</v>
      </c>
      <c r="L372" s="25">
        <f ca="1">CLIENTES[[#This Row],[Fecha Vencimiento]]-$J$6</f>
        <v>18</v>
      </c>
      <c r="N372" s="1" t="str">
        <f t="shared" ca="1" si="12"/>
        <v>Al dia</v>
      </c>
      <c r="O372" s="19"/>
      <c r="P372" s="2"/>
      <c r="Q372" s="2">
        <f t="shared" si="11"/>
        <v>0</v>
      </c>
    </row>
    <row r="373" spans="3:17" x14ac:dyDescent="0.25">
      <c r="C373" s="13" t="s">
        <v>938</v>
      </c>
      <c r="D373" s="13" t="s">
        <v>942</v>
      </c>
      <c r="F373" t="s">
        <v>35</v>
      </c>
      <c r="G373" t="s">
        <v>943</v>
      </c>
      <c r="H373" s="14">
        <v>2</v>
      </c>
      <c r="I373" s="10" t="s">
        <v>28</v>
      </c>
      <c r="J373" s="1">
        <v>45524</v>
      </c>
      <c r="K373" s="1">
        <v>45551</v>
      </c>
      <c r="L373" s="25">
        <f ca="1">CLIENTES[[#This Row],[Fecha Vencimiento]]-$J$6</f>
        <v>-44</v>
      </c>
      <c r="N373" s="1" t="str">
        <f t="shared" ca="1" si="12"/>
        <v>Vencido</v>
      </c>
      <c r="O373" s="19"/>
      <c r="P373" s="2"/>
      <c r="Q373" s="2">
        <f t="shared" si="11"/>
        <v>0</v>
      </c>
    </row>
    <row r="374" spans="3:17" x14ac:dyDescent="0.25">
      <c r="C374" s="13" t="s">
        <v>938</v>
      </c>
      <c r="D374" s="13" t="s">
        <v>944</v>
      </c>
      <c r="E374" s="10" t="s">
        <v>3119</v>
      </c>
      <c r="F374" t="s">
        <v>35</v>
      </c>
      <c r="G374" t="s">
        <v>945</v>
      </c>
      <c r="H374" s="14">
        <v>3</v>
      </c>
      <c r="I374" s="10" t="s">
        <v>28</v>
      </c>
      <c r="J374" s="1">
        <v>45582</v>
      </c>
      <c r="K374" s="1">
        <v>45613</v>
      </c>
      <c r="L374" s="25">
        <f ca="1">CLIENTES[[#This Row],[Fecha Vencimiento]]-$J$6</f>
        <v>18</v>
      </c>
      <c r="N374" s="1" t="str">
        <f t="shared" ca="1" si="12"/>
        <v>Al dia</v>
      </c>
      <c r="O374" s="19"/>
      <c r="P374" s="2"/>
      <c r="Q374" s="2">
        <f t="shared" si="11"/>
        <v>0</v>
      </c>
    </row>
    <row r="375" spans="3:17" x14ac:dyDescent="0.25">
      <c r="C375" s="13" t="s">
        <v>938</v>
      </c>
      <c r="D375" s="13" t="s">
        <v>944</v>
      </c>
      <c r="E375" s="10" t="s">
        <v>3114</v>
      </c>
      <c r="F375" t="s">
        <v>35</v>
      </c>
      <c r="G375" t="s">
        <v>946</v>
      </c>
      <c r="H375" s="14">
        <v>2</v>
      </c>
      <c r="I375" s="10" t="s">
        <v>28</v>
      </c>
      <c r="J375" s="1">
        <v>45582</v>
      </c>
      <c r="K375" s="1">
        <v>45613</v>
      </c>
      <c r="L375" s="25">
        <f ca="1">CLIENTES[[#This Row],[Fecha Vencimiento]]-$J$6</f>
        <v>18</v>
      </c>
      <c r="N375" s="1" t="str">
        <f t="shared" ca="1" si="12"/>
        <v>Al dia</v>
      </c>
      <c r="O375" s="19">
        <v>45551</v>
      </c>
      <c r="P375" s="2"/>
      <c r="Q375" s="2">
        <f t="shared" si="11"/>
        <v>-45551</v>
      </c>
    </row>
    <row r="376" spans="3:17" x14ac:dyDescent="0.25">
      <c r="C376" s="13" t="s">
        <v>947</v>
      </c>
      <c r="D376" s="13" t="s">
        <v>948</v>
      </c>
      <c r="E376" s="10">
        <v>1135401010</v>
      </c>
      <c r="F376" t="s">
        <v>35</v>
      </c>
      <c r="G376" t="s">
        <v>949</v>
      </c>
      <c r="H376" s="14">
        <v>5</v>
      </c>
      <c r="I376" s="10" t="s">
        <v>28</v>
      </c>
      <c r="J376" s="1">
        <v>45558</v>
      </c>
      <c r="K376" s="1">
        <v>45588</v>
      </c>
      <c r="L376" s="25">
        <f ca="1">CLIENTES[[#This Row],[Fecha Vencimiento]]-$J$6</f>
        <v>-7</v>
      </c>
      <c r="N376" s="1" t="str">
        <f t="shared" ca="1" si="12"/>
        <v>Vencido</v>
      </c>
      <c r="O376" s="19"/>
      <c r="P376" s="2"/>
      <c r="Q376" s="2">
        <f t="shared" si="11"/>
        <v>0</v>
      </c>
    </row>
    <row r="377" spans="3:17" x14ac:dyDescent="0.25">
      <c r="C377" s="13" t="s">
        <v>950</v>
      </c>
      <c r="D377" s="13" t="s">
        <v>951</v>
      </c>
      <c r="E377" s="10">
        <v>1169968131</v>
      </c>
      <c r="F377" t="s">
        <v>35</v>
      </c>
      <c r="G377" t="s">
        <v>952</v>
      </c>
      <c r="H377" s="14">
        <v>2</v>
      </c>
      <c r="I377" s="10" t="s">
        <v>28</v>
      </c>
      <c r="J377" s="1">
        <v>45588</v>
      </c>
      <c r="K377" s="1">
        <v>45606</v>
      </c>
      <c r="L377" s="25">
        <f ca="1">CLIENTES[[#This Row],[Fecha Vencimiento]]-$J$6</f>
        <v>11</v>
      </c>
      <c r="N377" s="1" t="str">
        <f t="shared" ca="1" si="12"/>
        <v>Al dia</v>
      </c>
      <c r="O377" s="19"/>
      <c r="P377" s="2"/>
      <c r="Q377" s="2">
        <f t="shared" si="11"/>
        <v>0</v>
      </c>
    </row>
    <row r="378" spans="3:17" x14ac:dyDescent="0.25">
      <c r="C378" s="13" t="s">
        <v>953</v>
      </c>
      <c r="D378" s="13" t="s">
        <v>954</v>
      </c>
      <c r="E378" s="10">
        <v>1128325563</v>
      </c>
      <c r="F378" t="s">
        <v>35</v>
      </c>
      <c r="G378" t="s">
        <v>955</v>
      </c>
      <c r="H378" s="14">
        <v>1</v>
      </c>
      <c r="I378" s="10" t="s">
        <v>28</v>
      </c>
      <c r="J378" s="1">
        <v>45547</v>
      </c>
      <c r="K378" s="1">
        <v>45577</v>
      </c>
      <c r="L378" s="25">
        <f ca="1">CLIENTES[[#This Row],[Fecha Vencimiento]]-$J$6</f>
        <v>-18</v>
      </c>
      <c r="N378" s="1" t="str">
        <f t="shared" ca="1" si="12"/>
        <v>Vencido</v>
      </c>
      <c r="O378" s="19">
        <v>45547</v>
      </c>
      <c r="P378" s="2"/>
      <c r="Q378" s="2">
        <f t="shared" si="11"/>
        <v>-45547</v>
      </c>
    </row>
    <row r="379" spans="3:17" x14ac:dyDescent="0.25">
      <c r="C379" s="13" t="s">
        <v>956</v>
      </c>
      <c r="D379" s="13" t="s">
        <v>117</v>
      </c>
      <c r="F379" t="s">
        <v>35</v>
      </c>
      <c r="G379" t="s">
        <v>957</v>
      </c>
      <c r="I379" s="10" t="s">
        <v>28</v>
      </c>
      <c r="J379" s="1">
        <v>45467</v>
      </c>
      <c r="K379" s="1">
        <v>45496</v>
      </c>
      <c r="L379" s="25">
        <f ca="1">CLIENTES[[#This Row],[Fecha Vencimiento]]-$J$6</f>
        <v>-99</v>
      </c>
      <c r="N379" s="1" t="str">
        <f t="shared" ca="1" si="12"/>
        <v>Vencido</v>
      </c>
      <c r="O379" s="19"/>
      <c r="P379" s="2"/>
      <c r="Q379" s="2">
        <f t="shared" si="11"/>
        <v>0</v>
      </c>
    </row>
    <row r="380" spans="3:17" x14ac:dyDescent="0.25">
      <c r="C380" s="13" t="s">
        <v>956</v>
      </c>
      <c r="D380" s="13" t="s">
        <v>958</v>
      </c>
      <c r="E380" s="10">
        <v>1166931618</v>
      </c>
      <c r="F380" t="s">
        <v>35</v>
      </c>
      <c r="G380" t="s">
        <v>959</v>
      </c>
      <c r="H380" s="14">
        <v>2</v>
      </c>
      <c r="I380" s="10" t="s">
        <v>28</v>
      </c>
      <c r="J380" s="1">
        <v>45586</v>
      </c>
      <c r="K380" s="1">
        <v>45605</v>
      </c>
      <c r="L380" s="25">
        <f ca="1">CLIENTES[[#This Row],[Fecha Vencimiento]]-$J$6</f>
        <v>10</v>
      </c>
      <c r="N380" s="1" t="str">
        <f t="shared" ca="1" si="12"/>
        <v>Al dia</v>
      </c>
      <c r="O380" s="19"/>
      <c r="P380" s="2"/>
      <c r="Q380" s="2">
        <f t="shared" si="11"/>
        <v>0</v>
      </c>
    </row>
    <row r="381" spans="3:17" x14ac:dyDescent="0.25">
      <c r="C381" s="13" t="s">
        <v>956</v>
      </c>
      <c r="D381" s="13" t="s">
        <v>960</v>
      </c>
      <c r="E381" s="10">
        <v>1162991063</v>
      </c>
      <c r="F381" t="s">
        <v>35</v>
      </c>
      <c r="G381" t="s">
        <v>961</v>
      </c>
      <c r="H381" s="14">
        <v>2</v>
      </c>
      <c r="I381" s="10" t="s">
        <v>28</v>
      </c>
      <c r="J381" s="1">
        <v>45581</v>
      </c>
      <c r="K381" s="1">
        <v>45612</v>
      </c>
      <c r="L381" s="25">
        <f ca="1">CLIENTES[[#This Row],[Fecha Vencimiento]]-$J$6</f>
        <v>17</v>
      </c>
      <c r="N381" s="1" t="str">
        <f t="shared" ca="1" si="12"/>
        <v>Al dia</v>
      </c>
      <c r="O381" s="19">
        <v>45551</v>
      </c>
      <c r="P381" s="2"/>
      <c r="Q381" s="2">
        <f t="shared" si="11"/>
        <v>-45551</v>
      </c>
    </row>
    <row r="382" spans="3:17" x14ac:dyDescent="0.25">
      <c r="C382" s="13" t="s">
        <v>962</v>
      </c>
      <c r="D382" s="13" t="s">
        <v>963</v>
      </c>
      <c r="E382" s="10">
        <v>1168804513</v>
      </c>
      <c r="F382" t="s">
        <v>35</v>
      </c>
      <c r="G382" t="s">
        <v>964</v>
      </c>
      <c r="H382" s="14">
        <v>2</v>
      </c>
      <c r="I382" s="10" t="s">
        <v>28</v>
      </c>
      <c r="J382" s="1">
        <v>45587</v>
      </c>
      <c r="K382" s="1">
        <v>45612</v>
      </c>
      <c r="L382" s="25">
        <f ca="1">CLIENTES[[#This Row],[Fecha Vencimiento]]-$J$6</f>
        <v>17</v>
      </c>
      <c r="N382" s="1" t="str">
        <f t="shared" ca="1" si="12"/>
        <v>Al dia</v>
      </c>
      <c r="O382" s="19">
        <v>45548</v>
      </c>
      <c r="P382" s="2"/>
      <c r="Q382" s="2">
        <f t="shared" si="11"/>
        <v>-45548</v>
      </c>
    </row>
    <row r="383" spans="3:17" x14ac:dyDescent="0.25">
      <c r="C383" s="13" t="s">
        <v>965</v>
      </c>
      <c r="D383" s="13" t="s">
        <v>335</v>
      </c>
      <c r="F383" t="s">
        <v>35</v>
      </c>
      <c r="G383" t="s">
        <v>966</v>
      </c>
      <c r="H383" s="14">
        <v>1</v>
      </c>
      <c r="I383" s="10" t="s">
        <v>28</v>
      </c>
      <c r="J383" s="1">
        <v>45579</v>
      </c>
      <c r="K383" s="1">
        <v>45610</v>
      </c>
      <c r="L383" s="25">
        <f ca="1">CLIENTES[[#This Row],[Fecha Vencimiento]]-$J$6</f>
        <v>15</v>
      </c>
      <c r="N383" s="1" t="str">
        <f t="shared" ca="1" si="12"/>
        <v>Al dia</v>
      </c>
      <c r="O383" s="19"/>
      <c r="P383" s="2"/>
      <c r="Q383" s="2">
        <f t="shared" si="11"/>
        <v>0</v>
      </c>
    </row>
    <row r="384" spans="3:17" x14ac:dyDescent="0.25">
      <c r="C384" s="13" t="s">
        <v>967</v>
      </c>
      <c r="D384" s="13" t="s">
        <v>968</v>
      </c>
      <c r="E384" s="10">
        <v>1131160086</v>
      </c>
      <c r="F384" t="s">
        <v>35</v>
      </c>
      <c r="G384" t="s">
        <v>969</v>
      </c>
      <c r="H384" s="14">
        <v>4</v>
      </c>
      <c r="I384" s="10" t="s">
        <v>28</v>
      </c>
      <c r="J384" s="1">
        <v>45588</v>
      </c>
      <c r="K384" s="1">
        <v>45619</v>
      </c>
      <c r="L384" s="25">
        <f ca="1">CLIENTES[[#This Row],[Fecha Vencimiento]]-$J$6</f>
        <v>24</v>
      </c>
      <c r="N384" s="1" t="str">
        <f t="shared" ca="1" si="12"/>
        <v>Al dia</v>
      </c>
      <c r="O384" s="19"/>
      <c r="P384" s="2"/>
      <c r="Q384" s="2">
        <f t="shared" si="11"/>
        <v>0</v>
      </c>
    </row>
    <row r="385" spans="3:17" x14ac:dyDescent="0.25">
      <c r="C385" s="13" t="s">
        <v>970</v>
      </c>
      <c r="D385" s="13" t="s">
        <v>669</v>
      </c>
      <c r="F385" t="s">
        <v>35</v>
      </c>
      <c r="G385" t="s">
        <v>971</v>
      </c>
      <c r="I385" s="10" t="s">
        <v>28</v>
      </c>
      <c r="J385" s="1">
        <v>45476</v>
      </c>
      <c r="K385" s="1">
        <v>45482</v>
      </c>
      <c r="L385" s="25">
        <f ca="1">CLIENTES[[#This Row],[Fecha Vencimiento]]-$J$6</f>
        <v>-113</v>
      </c>
      <c r="N385" s="1" t="str">
        <f t="shared" ca="1" si="12"/>
        <v>Vencido</v>
      </c>
      <c r="O385" s="19"/>
      <c r="P385" s="2"/>
      <c r="Q385" s="2">
        <f t="shared" si="11"/>
        <v>0</v>
      </c>
    </row>
    <row r="386" spans="3:17" x14ac:dyDescent="0.25">
      <c r="C386" s="13" t="s">
        <v>970</v>
      </c>
      <c r="D386" s="13" t="s">
        <v>972</v>
      </c>
      <c r="E386" s="10">
        <v>1128420481</v>
      </c>
      <c r="F386" t="s">
        <v>35</v>
      </c>
      <c r="G386" t="s">
        <v>973</v>
      </c>
      <c r="H386" s="14">
        <v>2</v>
      </c>
      <c r="I386" s="10" t="s">
        <v>28</v>
      </c>
      <c r="J386" s="1">
        <v>45590</v>
      </c>
      <c r="K386" s="1">
        <v>45624</v>
      </c>
      <c r="L386" s="25">
        <f ca="1">CLIENTES[[#This Row],[Fecha Vencimiento]]-$J$6</f>
        <v>29</v>
      </c>
      <c r="N386" s="1" t="str">
        <f t="shared" ca="1" si="12"/>
        <v>Al dia</v>
      </c>
      <c r="O386" s="19">
        <v>45563</v>
      </c>
      <c r="P386" s="2"/>
      <c r="Q386" s="2">
        <f t="shared" si="11"/>
        <v>-45563</v>
      </c>
    </row>
    <row r="387" spans="3:17" x14ac:dyDescent="0.25">
      <c r="C387" s="13" t="s">
        <v>974</v>
      </c>
      <c r="D387" s="13" t="s">
        <v>975</v>
      </c>
      <c r="E387" s="10">
        <v>1144485318</v>
      </c>
      <c r="F387" t="s">
        <v>35</v>
      </c>
      <c r="G387" t="s">
        <v>976</v>
      </c>
      <c r="H387" s="14">
        <v>3</v>
      </c>
      <c r="I387" s="10" t="s">
        <v>28</v>
      </c>
      <c r="J387" s="1">
        <v>45570</v>
      </c>
      <c r="K387" s="1">
        <v>45604</v>
      </c>
      <c r="L387" s="25">
        <f ca="1">CLIENTES[[#This Row],[Fecha Vencimiento]]-$J$6</f>
        <v>9</v>
      </c>
      <c r="N387" s="1" t="str">
        <f t="shared" ca="1" si="12"/>
        <v>Al dia</v>
      </c>
      <c r="O387" s="19"/>
      <c r="P387" s="2"/>
      <c r="Q387" s="2">
        <f t="shared" si="11"/>
        <v>0</v>
      </c>
    </row>
    <row r="388" spans="3:17" x14ac:dyDescent="0.25">
      <c r="C388" s="13" t="s">
        <v>977</v>
      </c>
      <c r="D388" s="13" t="s">
        <v>635</v>
      </c>
      <c r="E388" s="10">
        <v>166651778</v>
      </c>
      <c r="F388" t="s">
        <v>159</v>
      </c>
      <c r="G388" t="s">
        <v>978</v>
      </c>
      <c r="H388" s="14">
        <v>2</v>
      </c>
      <c r="I388" s="10" t="s">
        <v>183</v>
      </c>
      <c r="J388" s="1">
        <v>45567</v>
      </c>
      <c r="K388" s="1">
        <v>45598</v>
      </c>
      <c r="L388" s="25">
        <f ca="1">CLIENTES[[#This Row],[Fecha Vencimiento]]-$J$6</f>
        <v>3</v>
      </c>
      <c r="N388" s="1" t="str">
        <f t="shared" ca="1" si="12"/>
        <v>Por vencer</v>
      </c>
      <c r="O388" s="19">
        <v>45537</v>
      </c>
      <c r="P388" s="2">
        <v>65000</v>
      </c>
      <c r="Q388" s="2">
        <f t="shared" si="11"/>
        <v>19463</v>
      </c>
    </row>
    <row r="389" spans="3:17" x14ac:dyDescent="0.25">
      <c r="C389" s="13" t="s">
        <v>977</v>
      </c>
      <c r="D389" s="13" t="s">
        <v>979</v>
      </c>
      <c r="E389" s="10">
        <v>1161632908</v>
      </c>
      <c r="F389" t="s">
        <v>35</v>
      </c>
      <c r="G389" t="s">
        <v>980</v>
      </c>
      <c r="H389" s="14">
        <v>1</v>
      </c>
      <c r="I389" s="10" t="s">
        <v>28</v>
      </c>
      <c r="J389" s="1">
        <v>45587</v>
      </c>
      <c r="K389" s="1">
        <v>45618</v>
      </c>
      <c r="L389" s="25">
        <f ca="1">CLIENTES[[#This Row],[Fecha Vencimiento]]-$J$6</f>
        <v>23</v>
      </c>
      <c r="N389" s="1" t="str">
        <f t="shared" ca="1" si="12"/>
        <v>Al dia</v>
      </c>
      <c r="O389" s="19">
        <v>45587</v>
      </c>
      <c r="P389" s="2"/>
      <c r="Q389" s="2">
        <f t="shared" si="11"/>
        <v>-45587</v>
      </c>
    </row>
    <row r="390" spans="3:17" x14ac:dyDescent="0.25">
      <c r="C390" s="13" t="s">
        <v>977</v>
      </c>
      <c r="D390" s="13" t="s">
        <v>981</v>
      </c>
      <c r="E390" s="10">
        <v>1123906111</v>
      </c>
      <c r="F390" t="s">
        <v>35</v>
      </c>
      <c r="G390" t="s">
        <v>982</v>
      </c>
      <c r="H390" s="14">
        <v>1</v>
      </c>
      <c r="I390" s="10" t="s">
        <v>28</v>
      </c>
      <c r="J390" s="1">
        <v>45570</v>
      </c>
      <c r="K390" s="1">
        <v>45601</v>
      </c>
      <c r="L390" s="25">
        <f ca="1">CLIENTES[[#This Row],[Fecha Vencimiento]]-$J$6</f>
        <v>6</v>
      </c>
      <c r="N390" s="1" t="str">
        <f t="shared" ca="1" si="12"/>
        <v>Al dia</v>
      </c>
      <c r="O390" s="19">
        <v>45570</v>
      </c>
      <c r="P390" s="2"/>
      <c r="Q390" s="2">
        <f t="shared" si="11"/>
        <v>-45570</v>
      </c>
    </row>
    <row r="391" spans="3:17" x14ac:dyDescent="0.25">
      <c r="C391" s="13" t="s">
        <v>977</v>
      </c>
      <c r="D391" s="13" t="s">
        <v>983</v>
      </c>
      <c r="E391" s="10">
        <v>1131815604</v>
      </c>
      <c r="F391" t="s">
        <v>35</v>
      </c>
      <c r="G391" t="s">
        <v>984</v>
      </c>
      <c r="H391" s="14">
        <v>2</v>
      </c>
      <c r="I391" s="10" t="s">
        <v>28</v>
      </c>
      <c r="J391" s="1">
        <v>45545</v>
      </c>
      <c r="K391" s="1">
        <v>45577</v>
      </c>
      <c r="L391" s="25">
        <f ca="1">CLIENTES[[#This Row],[Fecha Vencimiento]]-$J$6</f>
        <v>-18</v>
      </c>
      <c r="N391" s="1" t="str">
        <f t="shared" ca="1" si="12"/>
        <v>Vencido</v>
      </c>
      <c r="O391" s="19"/>
      <c r="P391" s="2"/>
      <c r="Q391" s="2">
        <f t="shared" si="11"/>
        <v>0</v>
      </c>
    </row>
    <row r="392" spans="3:17" x14ac:dyDescent="0.25">
      <c r="C392" s="13" t="s">
        <v>977</v>
      </c>
      <c r="D392" s="13" t="s">
        <v>985</v>
      </c>
      <c r="E392" s="10">
        <v>1138514389</v>
      </c>
      <c r="F392" t="s">
        <v>35</v>
      </c>
      <c r="G392" t="s">
        <v>986</v>
      </c>
      <c r="H392" s="14">
        <v>2</v>
      </c>
      <c r="I392" s="10" t="s">
        <v>28</v>
      </c>
      <c r="J392" s="1">
        <v>45575</v>
      </c>
      <c r="K392" s="1">
        <v>45609</v>
      </c>
      <c r="L392" s="25">
        <f ca="1">CLIENTES[[#This Row],[Fecha Vencimiento]]-$J$6</f>
        <v>14</v>
      </c>
      <c r="N392" s="1" t="str">
        <f t="shared" ca="1" si="12"/>
        <v>Al dia</v>
      </c>
      <c r="O392" s="19">
        <v>45547</v>
      </c>
      <c r="P392" s="2"/>
      <c r="Q392" s="2">
        <f t="shared" ref="Q392:Q455" si="13">P392-O392</f>
        <v>-45547</v>
      </c>
    </row>
    <row r="393" spans="3:17" x14ac:dyDescent="0.25">
      <c r="C393" s="13" t="s">
        <v>977</v>
      </c>
      <c r="D393" s="13" t="s">
        <v>985</v>
      </c>
      <c r="E393" s="10">
        <v>1138514389</v>
      </c>
      <c r="F393" t="s">
        <v>35</v>
      </c>
      <c r="G393" t="s">
        <v>987</v>
      </c>
      <c r="H393" s="14">
        <v>3</v>
      </c>
      <c r="I393" s="10" t="s">
        <v>28</v>
      </c>
      <c r="J393" s="1">
        <v>45575</v>
      </c>
      <c r="K393" s="1">
        <v>45598</v>
      </c>
      <c r="L393" s="25">
        <f ca="1">CLIENTES[[#This Row],[Fecha Vencimiento]]-$J$6</f>
        <v>3</v>
      </c>
      <c r="N393" s="1" t="str">
        <f t="shared" ca="1" si="12"/>
        <v>Por vencer</v>
      </c>
      <c r="O393" s="19"/>
      <c r="P393" s="2"/>
      <c r="Q393" s="2">
        <f t="shared" si="13"/>
        <v>0</v>
      </c>
    </row>
    <row r="394" spans="3:17" x14ac:dyDescent="0.25">
      <c r="C394" s="13" t="s">
        <v>977</v>
      </c>
      <c r="D394" s="13" t="s">
        <v>988</v>
      </c>
      <c r="E394" s="10">
        <v>1160486322</v>
      </c>
      <c r="F394" t="s">
        <v>35</v>
      </c>
      <c r="G394" t="s">
        <v>989</v>
      </c>
      <c r="H394" s="14">
        <v>4</v>
      </c>
      <c r="I394" s="10" t="s">
        <v>28</v>
      </c>
      <c r="J394" s="1">
        <v>45588</v>
      </c>
      <c r="K394" s="1">
        <v>45620</v>
      </c>
      <c r="L394" s="25">
        <f ca="1">CLIENTES[[#This Row],[Fecha Vencimiento]]-$J$6</f>
        <v>25</v>
      </c>
      <c r="N394" s="1" t="str">
        <f t="shared" ca="1" si="12"/>
        <v>Al dia</v>
      </c>
      <c r="O394" s="19"/>
      <c r="P394" s="2"/>
      <c r="Q394" s="2">
        <f t="shared" si="13"/>
        <v>0</v>
      </c>
    </row>
    <row r="395" spans="3:17" x14ac:dyDescent="0.25">
      <c r="C395" s="13" t="s">
        <v>977</v>
      </c>
      <c r="D395" s="13" t="s">
        <v>990</v>
      </c>
      <c r="E395" s="10" t="s">
        <v>3117</v>
      </c>
      <c r="F395" t="s">
        <v>35</v>
      </c>
      <c r="G395" t="s">
        <v>991</v>
      </c>
      <c r="H395" s="14">
        <v>5</v>
      </c>
      <c r="I395" s="10" t="s">
        <v>28</v>
      </c>
      <c r="J395" s="1">
        <v>45573</v>
      </c>
      <c r="K395" s="1">
        <v>45602</v>
      </c>
      <c r="L395" s="25">
        <f ca="1">CLIENTES[[#This Row],[Fecha Vencimiento]]-$J$6</f>
        <v>7</v>
      </c>
      <c r="N395" s="1" t="str">
        <f t="shared" ca="1" si="12"/>
        <v>Al dia</v>
      </c>
      <c r="O395" s="19"/>
      <c r="P395" s="2"/>
      <c r="Q395" s="2">
        <f t="shared" si="13"/>
        <v>0</v>
      </c>
    </row>
    <row r="396" spans="3:17" x14ac:dyDescent="0.25">
      <c r="C396" s="13" t="s">
        <v>977</v>
      </c>
      <c r="D396" s="13" t="s">
        <v>992</v>
      </c>
      <c r="E396" s="10" t="s">
        <v>2931</v>
      </c>
      <c r="F396" t="s">
        <v>35</v>
      </c>
      <c r="G396" t="s">
        <v>993</v>
      </c>
      <c r="H396" s="14">
        <v>6</v>
      </c>
      <c r="I396" s="10" t="s">
        <v>28</v>
      </c>
      <c r="J396" s="1">
        <v>45579</v>
      </c>
      <c r="K396" s="1">
        <v>45607</v>
      </c>
      <c r="L396" s="25">
        <f ca="1">CLIENTES[[#This Row],[Fecha Vencimiento]]-$J$6</f>
        <v>12</v>
      </c>
      <c r="N396" s="1" t="str">
        <f t="shared" ca="1" si="12"/>
        <v>Al dia</v>
      </c>
      <c r="O396" s="19"/>
      <c r="P396" s="2"/>
      <c r="Q396" s="2">
        <f t="shared" si="13"/>
        <v>0</v>
      </c>
    </row>
    <row r="397" spans="3:17" x14ac:dyDescent="0.25">
      <c r="C397" s="13" t="s">
        <v>977</v>
      </c>
      <c r="D397" s="13" t="s">
        <v>374</v>
      </c>
      <c r="F397" t="s">
        <v>35</v>
      </c>
      <c r="G397" t="s">
        <v>994</v>
      </c>
      <c r="H397" s="14">
        <v>6</v>
      </c>
      <c r="I397" s="10" t="s">
        <v>28</v>
      </c>
      <c r="J397" s="1">
        <v>45576</v>
      </c>
      <c r="K397" s="1">
        <v>45604</v>
      </c>
      <c r="L397" s="25">
        <f ca="1">CLIENTES[[#This Row],[Fecha Vencimiento]]-$J$6</f>
        <v>9</v>
      </c>
      <c r="N397" s="1" t="str">
        <f t="shared" ca="1" si="12"/>
        <v>Al dia</v>
      </c>
      <c r="O397" s="19"/>
      <c r="P397" s="2"/>
      <c r="Q397" s="2">
        <f t="shared" si="13"/>
        <v>0</v>
      </c>
    </row>
    <row r="398" spans="3:17" x14ac:dyDescent="0.25">
      <c r="C398" s="13" t="s">
        <v>977</v>
      </c>
      <c r="D398" s="13" t="s">
        <v>995</v>
      </c>
      <c r="E398" s="10">
        <v>1133895979</v>
      </c>
      <c r="F398" t="s">
        <v>35</v>
      </c>
      <c r="G398" t="s">
        <v>996</v>
      </c>
      <c r="H398" s="14">
        <v>6</v>
      </c>
      <c r="I398" s="10" t="s">
        <v>28</v>
      </c>
      <c r="J398" s="1">
        <v>45581</v>
      </c>
      <c r="K398" s="1">
        <v>45612</v>
      </c>
      <c r="L398" s="25">
        <f ca="1">CLIENTES[[#This Row],[Fecha Vencimiento]]-$J$6</f>
        <v>17</v>
      </c>
      <c r="N398" s="1" t="str">
        <f t="shared" ca="1" si="12"/>
        <v>Al dia</v>
      </c>
      <c r="O398" s="19"/>
      <c r="P398" s="2"/>
      <c r="Q398" s="2">
        <f t="shared" si="13"/>
        <v>0</v>
      </c>
    </row>
    <row r="399" spans="3:17" x14ac:dyDescent="0.25">
      <c r="C399" s="13" t="s">
        <v>977</v>
      </c>
      <c r="D399" s="13" t="s">
        <v>997</v>
      </c>
      <c r="F399" t="s">
        <v>35</v>
      </c>
      <c r="G399" t="s">
        <v>998</v>
      </c>
      <c r="I399" s="10" t="s">
        <v>28</v>
      </c>
      <c r="J399" s="1">
        <v>45488</v>
      </c>
      <c r="K399" s="1">
        <v>45516</v>
      </c>
      <c r="L399" s="25">
        <f ca="1">CLIENTES[[#This Row],[Fecha Vencimiento]]-$J$6</f>
        <v>-79</v>
      </c>
      <c r="N399" s="1" t="str">
        <f t="shared" ca="1" si="12"/>
        <v>Vencido</v>
      </c>
      <c r="O399" s="19"/>
      <c r="P399" s="2"/>
      <c r="Q399" s="2">
        <f t="shared" si="13"/>
        <v>0</v>
      </c>
    </row>
    <row r="400" spans="3:17" x14ac:dyDescent="0.25">
      <c r="C400" s="13" t="s">
        <v>977</v>
      </c>
      <c r="D400" s="13" t="s">
        <v>999</v>
      </c>
      <c r="E400" s="10" t="s">
        <v>2931</v>
      </c>
      <c r="F400" t="s">
        <v>35</v>
      </c>
      <c r="G400" t="s">
        <v>1000</v>
      </c>
      <c r="H400" s="14">
        <v>1</v>
      </c>
      <c r="I400" s="10" t="s">
        <v>28</v>
      </c>
      <c r="J400" s="1">
        <v>45566</v>
      </c>
      <c r="K400" s="1">
        <v>45597</v>
      </c>
      <c r="L400" s="25">
        <f ca="1">CLIENTES[[#This Row],[Fecha Vencimiento]]-$J$6</f>
        <v>2</v>
      </c>
      <c r="N400" s="1" t="str">
        <f t="shared" ca="1" si="12"/>
        <v>Por vencer</v>
      </c>
      <c r="O400" s="19">
        <v>45566</v>
      </c>
      <c r="P400" s="2"/>
      <c r="Q400" s="2">
        <f t="shared" si="13"/>
        <v>-45566</v>
      </c>
    </row>
    <row r="401" spans="3:17" x14ac:dyDescent="0.25">
      <c r="C401" s="13" t="s">
        <v>1001</v>
      </c>
      <c r="D401" s="13" t="s">
        <v>1002</v>
      </c>
      <c r="E401" s="10" t="s">
        <v>1003</v>
      </c>
      <c r="F401" t="s">
        <v>35</v>
      </c>
      <c r="G401" t="s">
        <v>1004</v>
      </c>
      <c r="H401" s="14">
        <v>6</v>
      </c>
      <c r="I401" s="10" t="s">
        <v>28</v>
      </c>
      <c r="J401" s="1">
        <v>45589</v>
      </c>
      <c r="K401" s="1">
        <v>45620</v>
      </c>
      <c r="L401" s="25">
        <f ca="1">CLIENTES[[#This Row],[Fecha Vencimiento]]-$J$6</f>
        <v>25</v>
      </c>
      <c r="N401" s="1" t="str">
        <f t="shared" ca="1" si="12"/>
        <v>Al dia</v>
      </c>
      <c r="O401" s="19"/>
      <c r="P401" s="2"/>
      <c r="Q401" s="2">
        <f t="shared" si="13"/>
        <v>0</v>
      </c>
    </row>
    <row r="402" spans="3:17" x14ac:dyDescent="0.25">
      <c r="C402" s="13" t="s">
        <v>1005</v>
      </c>
      <c r="D402" s="13" t="s">
        <v>1006</v>
      </c>
      <c r="E402" s="10">
        <v>3812470233</v>
      </c>
      <c r="F402" t="s">
        <v>35</v>
      </c>
      <c r="G402" t="s">
        <v>1007</v>
      </c>
      <c r="H402" s="14">
        <v>5</v>
      </c>
      <c r="I402" s="10" t="s">
        <v>28</v>
      </c>
      <c r="J402" s="1">
        <v>45562</v>
      </c>
      <c r="K402" s="1">
        <v>45592</v>
      </c>
      <c r="L402" s="25">
        <f ca="1">CLIENTES[[#This Row],[Fecha Vencimiento]]-$J$6</f>
        <v>-3</v>
      </c>
      <c r="N402" s="1" t="str">
        <f t="shared" ca="1" si="12"/>
        <v>Vencido</v>
      </c>
      <c r="O402" s="19"/>
      <c r="P402" s="2"/>
      <c r="Q402" s="2">
        <f t="shared" si="13"/>
        <v>0</v>
      </c>
    </row>
    <row r="403" spans="3:17" x14ac:dyDescent="0.25">
      <c r="C403" s="13" t="s">
        <v>1008</v>
      </c>
      <c r="D403" s="13" t="s">
        <v>1009</v>
      </c>
      <c r="E403" s="10">
        <v>1158793117</v>
      </c>
      <c r="F403" t="s">
        <v>35</v>
      </c>
      <c r="G403" t="s">
        <v>1010</v>
      </c>
      <c r="H403" s="14">
        <v>1</v>
      </c>
      <c r="I403" s="10" t="s">
        <v>28</v>
      </c>
      <c r="J403" s="1">
        <v>45530</v>
      </c>
      <c r="K403" s="1">
        <v>45561</v>
      </c>
      <c r="L403" s="25">
        <f ca="1">CLIENTES[[#This Row],[Fecha Vencimiento]]-$J$6</f>
        <v>-34</v>
      </c>
      <c r="N403" s="1" t="str">
        <f t="shared" ca="1" si="12"/>
        <v>Vencido</v>
      </c>
      <c r="O403" s="19">
        <v>45530</v>
      </c>
      <c r="P403" s="2"/>
      <c r="Q403" s="2">
        <f t="shared" si="13"/>
        <v>-45530</v>
      </c>
    </row>
    <row r="404" spans="3:17" x14ac:dyDescent="0.25">
      <c r="C404" s="13" t="s">
        <v>1011</v>
      </c>
      <c r="D404" s="13" t="s">
        <v>1012</v>
      </c>
      <c r="F404" t="s">
        <v>35</v>
      </c>
      <c r="G404" t="s">
        <v>1013</v>
      </c>
      <c r="I404" s="10" t="s">
        <v>28</v>
      </c>
      <c r="J404" s="1">
        <v>45518</v>
      </c>
      <c r="K404" s="1">
        <v>45522</v>
      </c>
      <c r="L404" s="25">
        <f ca="1">CLIENTES[[#This Row],[Fecha Vencimiento]]-$J$6</f>
        <v>-73</v>
      </c>
      <c r="N404" s="1" t="str">
        <f t="shared" ca="1" si="12"/>
        <v>Vencido</v>
      </c>
      <c r="O404" s="19"/>
      <c r="P404" s="2"/>
      <c r="Q404" s="2">
        <f t="shared" si="13"/>
        <v>0</v>
      </c>
    </row>
    <row r="405" spans="3:17" x14ac:dyDescent="0.25">
      <c r="C405" s="13" t="s">
        <v>1014</v>
      </c>
      <c r="D405" s="13" t="s">
        <v>1015</v>
      </c>
      <c r="E405" s="10">
        <v>1126093053</v>
      </c>
      <c r="F405" t="s">
        <v>35</v>
      </c>
      <c r="G405" t="s">
        <v>1016</v>
      </c>
      <c r="H405" s="14">
        <v>5</v>
      </c>
      <c r="I405" s="10" t="s">
        <v>28</v>
      </c>
      <c r="J405" s="1">
        <v>45586</v>
      </c>
      <c r="K405" s="1">
        <v>45618</v>
      </c>
      <c r="L405" s="25">
        <f ca="1">CLIENTES[[#This Row],[Fecha Vencimiento]]-$J$6</f>
        <v>23</v>
      </c>
      <c r="N405" s="1" t="str">
        <f t="shared" ca="1" si="12"/>
        <v>Al dia</v>
      </c>
      <c r="O405" s="19"/>
      <c r="P405" s="2"/>
      <c r="Q405" s="2">
        <f t="shared" si="13"/>
        <v>0</v>
      </c>
    </row>
    <row r="406" spans="3:17" x14ac:dyDescent="0.25">
      <c r="C406" s="13" t="s">
        <v>1017</v>
      </c>
      <c r="D406" s="13" t="s">
        <v>1018</v>
      </c>
      <c r="F406" t="s">
        <v>35</v>
      </c>
      <c r="G406" t="s">
        <v>1019</v>
      </c>
      <c r="I406" s="10" t="s">
        <v>28</v>
      </c>
      <c r="J406" s="1">
        <v>45500</v>
      </c>
      <c r="K406" s="1">
        <v>45505</v>
      </c>
      <c r="L406" s="25">
        <f ca="1">CLIENTES[[#This Row],[Fecha Vencimiento]]-$J$6</f>
        <v>-90</v>
      </c>
      <c r="N406" s="1" t="str">
        <f t="shared" ca="1" si="12"/>
        <v>Vencido</v>
      </c>
      <c r="O406" s="19"/>
      <c r="P406" s="2"/>
      <c r="Q406" s="2">
        <f t="shared" si="13"/>
        <v>0</v>
      </c>
    </row>
    <row r="407" spans="3:17" x14ac:dyDescent="0.25">
      <c r="C407" s="13" t="s">
        <v>1017</v>
      </c>
      <c r="D407" s="13" t="s">
        <v>1020</v>
      </c>
      <c r="F407" t="s">
        <v>35</v>
      </c>
      <c r="G407" t="s">
        <v>1021</v>
      </c>
      <c r="I407" s="10" t="s">
        <v>28</v>
      </c>
      <c r="J407" s="1">
        <v>45502</v>
      </c>
      <c r="K407" s="1">
        <v>45530</v>
      </c>
      <c r="L407" s="25">
        <f ca="1">CLIENTES[[#This Row],[Fecha Vencimiento]]-$J$6</f>
        <v>-65</v>
      </c>
      <c r="N407" s="1" t="str">
        <f t="shared" ca="1" si="12"/>
        <v>Vencido</v>
      </c>
      <c r="O407" s="19"/>
      <c r="P407" s="2"/>
      <c r="Q407" s="2">
        <f t="shared" si="13"/>
        <v>0</v>
      </c>
    </row>
    <row r="408" spans="3:17" x14ac:dyDescent="0.25">
      <c r="C408" s="13" t="s">
        <v>1022</v>
      </c>
      <c r="D408" s="13" t="s">
        <v>1023</v>
      </c>
      <c r="E408" s="10">
        <v>1159144954</v>
      </c>
      <c r="F408" t="s">
        <v>35</v>
      </c>
      <c r="G408" t="s">
        <v>1024</v>
      </c>
      <c r="I408" s="10" t="s">
        <v>28</v>
      </c>
      <c r="J408" s="1">
        <v>45510</v>
      </c>
      <c r="K408" s="1">
        <v>45541</v>
      </c>
      <c r="L408" s="25">
        <f ca="1">CLIENTES[[#This Row],[Fecha Vencimiento]]-$J$6</f>
        <v>-54</v>
      </c>
      <c r="N408" s="1" t="str">
        <f t="shared" ca="1" si="12"/>
        <v>Vencido</v>
      </c>
      <c r="O408" s="19"/>
      <c r="P408" s="2"/>
      <c r="Q408" s="2">
        <f t="shared" si="13"/>
        <v>0</v>
      </c>
    </row>
    <row r="409" spans="3:17" x14ac:dyDescent="0.25">
      <c r="C409" s="13" t="s">
        <v>1025</v>
      </c>
      <c r="D409" s="13" t="s">
        <v>1026</v>
      </c>
      <c r="E409" s="10" t="s">
        <v>3108</v>
      </c>
      <c r="F409" t="s">
        <v>35</v>
      </c>
      <c r="G409" t="s">
        <v>1027</v>
      </c>
      <c r="H409" s="14">
        <v>6</v>
      </c>
      <c r="I409" s="10" t="s">
        <v>28</v>
      </c>
      <c r="J409" s="1">
        <v>45552</v>
      </c>
      <c r="K409" s="1">
        <v>45582</v>
      </c>
      <c r="L409" s="25">
        <f ca="1">CLIENTES[[#This Row],[Fecha Vencimiento]]-$J$6</f>
        <v>-13</v>
      </c>
      <c r="N409" s="1" t="str">
        <f t="shared" ca="1" si="12"/>
        <v>Vencido</v>
      </c>
      <c r="O409" s="19"/>
      <c r="P409" s="2"/>
      <c r="Q409" s="2">
        <f t="shared" si="13"/>
        <v>0</v>
      </c>
    </row>
    <row r="410" spans="3:17" x14ac:dyDescent="0.25">
      <c r="C410" s="13" t="s">
        <v>1025</v>
      </c>
      <c r="D410" s="13" t="s">
        <v>635</v>
      </c>
      <c r="E410" s="10" t="s">
        <v>1028</v>
      </c>
      <c r="F410" t="s">
        <v>35</v>
      </c>
      <c r="G410" t="s">
        <v>1029</v>
      </c>
      <c r="H410" s="14">
        <v>2</v>
      </c>
      <c r="I410" s="10" t="s">
        <v>28</v>
      </c>
      <c r="J410" s="1">
        <v>45583</v>
      </c>
      <c r="K410" s="1">
        <v>45614</v>
      </c>
      <c r="L410" s="25">
        <f ca="1">CLIENTES[[#This Row],[Fecha Vencimiento]]-$J$6</f>
        <v>19</v>
      </c>
      <c r="N410" s="1" t="str">
        <f t="shared" ca="1" si="12"/>
        <v>Al dia</v>
      </c>
      <c r="O410" s="19"/>
      <c r="P410" s="2"/>
      <c r="Q410" s="2">
        <f t="shared" si="13"/>
        <v>0</v>
      </c>
    </row>
    <row r="411" spans="3:17" x14ac:dyDescent="0.25">
      <c r="C411" s="13" t="s">
        <v>1025</v>
      </c>
      <c r="D411" s="13" t="s">
        <v>1030</v>
      </c>
      <c r="E411" s="10">
        <v>1126671567</v>
      </c>
      <c r="F411" t="s">
        <v>35</v>
      </c>
      <c r="G411" t="s">
        <v>1031</v>
      </c>
      <c r="H411" s="14">
        <v>2</v>
      </c>
      <c r="I411" s="10" t="s">
        <v>28</v>
      </c>
      <c r="J411" s="1">
        <v>45586</v>
      </c>
      <c r="K411" s="1">
        <v>45615</v>
      </c>
      <c r="L411" s="25">
        <f ca="1">CLIENTES[[#This Row],[Fecha Vencimiento]]-$J$6</f>
        <v>20</v>
      </c>
      <c r="N411" s="1" t="str">
        <f t="shared" ca="1" si="12"/>
        <v>Al dia</v>
      </c>
      <c r="O411" s="19"/>
      <c r="P411" s="2"/>
      <c r="Q411" s="2">
        <f t="shared" si="13"/>
        <v>0</v>
      </c>
    </row>
    <row r="412" spans="3:17" x14ac:dyDescent="0.25">
      <c r="C412" s="13" t="s">
        <v>1025</v>
      </c>
      <c r="D412" s="13" t="s">
        <v>1032</v>
      </c>
      <c r="E412" s="10">
        <v>1161383059</v>
      </c>
      <c r="F412" t="s">
        <v>35</v>
      </c>
      <c r="G412" t="s">
        <v>1033</v>
      </c>
      <c r="H412" s="14">
        <v>1</v>
      </c>
      <c r="I412" s="10" t="s">
        <v>28</v>
      </c>
      <c r="J412" s="1">
        <v>45544</v>
      </c>
      <c r="K412" s="1">
        <v>45574</v>
      </c>
      <c r="L412" s="25">
        <f ca="1">CLIENTES[[#This Row],[Fecha Vencimiento]]-$J$6</f>
        <v>-21</v>
      </c>
      <c r="N412" s="1" t="str">
        <f t="shared" ca="1" si="12"/>
        <v>Vencido</v>
      </c>
      <c r="O412" s="19">
        <v>45544</v>
      </c>
      <c r="P412" s="2"/>
      <c r="Q412" s="2">
        <f t="shared" si="13"/>
        <v>-45544</v>
      </c>
    </row>
    <row r="413" spans="3:17" x14ac:dyDescent="0.25">
      <c r="C413" s="13" t="s">
        <v>1034</v>
      </c>
      <c r="D413" s="13" t="s">
        <v>1035</v>
      </c>
      <c r="E413" s="10" t="s">
        <v>2931</v>
      </c>
      <c r="F413" t="s">
        <v>35</v>
      </c>
      <c r="G413" t="s">
        <v>1036</v>
      </c>
      <c r="H413" s="14">
        <v>4</v>
      </c>
      <c r="I413" s="10" t="s">
        <v>28</v>
      </c>
      <c r="J413" s="1">
        <v>45584</v>
      </c>
      <c r="K413" s="1">
        <v>45593</v>
      </c>
      <c r="L413" s="25">
        <f ca="1">CLIENTES[[#This Row],[Fecha Vencimiento]]-$J$6</f>
        <v>-2</v>
      </c>
      <c r="N413" s="1" t="str">
        <f t="shared" ca="1" si="12"/>
        <v>Vencido</v>
      </c>
      <c r="O413" s="19"/>
      <c r="P413" s="2"/>
      <c r="Q413" s="2">
        <f t="shared" si="13"/>
        <v>0</v>
      </c>
    </row>
    <row r="414" spans="3:17" x14ac:dyDescent="0.25">
      <c r="C414" s="13" t="s">
        <v>1034</v>
      </c>
      <c r="D414" s="13" t="s">
        <v>44</v>
      </c>
      <c r="E414" s="10">
        <v>1150478712</v>
      </c>
      <c r="F414" t="s">
        <v>35</v>
      </c>
      <c r="G414" t="s">
        <v>1037</v>
      </c>
      <c r="H414" s="14">
        <v>2</v>
      </c>
      <c r="I414" s="10" t="s">
        <v>28</v>
      </c>
      <c r="J414" s="1">
        <v>45576</v>
      </c>
      <c r="K414" s="1">
        <v>45606</v>
      </c>
      <c r="L414" s="25">
        <f ca="1">CLIENTES[[#This Row],[Fecha Vencimiento]]-$J$6</f>
        <v>11</v>
      </c>
      <c r="N414" s="1" t="str">
        <f t="shared" ca="1" si="12"/>
        <v>Al dia</v>
      </c>
      <c r="O414" s="19">
        <v>45545</v>
      </c>
      <c r="P414" s="2"/>
      <c r="Q414" s="2">
        <f t="shared" si="13"/>
        <v>-45545</v>
      </c>
    </row>
    <row r="415" spans="3:17" x14ac:dyDescent="0.25">
      <c r="C415" s="13" t="s">
        <v>1034</v>
      </c>
      <c r="D415" s="13" t="s">
        <v>1038</v>
      </c>
      <c r="E415" s="10">
        <v>1164286739</v>
      </c>
      <c r="F415" t="s">
        <v>35</v>
      </c>
      <c r="G415" t="s">
        <v>1039</v>
      </c>
      <c r="H415" s="14">
        <v>1</v>
      </c>
      <c r="I415" s="10" t="s">
        <v>28</v>
      </c>
      <c r="J415" s="1">
        <v>45567</v>
      </c>
      <c r="K415" s="1">
        <v>45598</v>
      </c>
      <c r="L415" s="25">
        <f ca="1">CLIENTES[[#This Row],[Fecha Vencimiento]]-$J$6</f>
        <v>3</v>
      </c>
      <c r="N415" s="1" t="str">
        <f t="shared" ca="1" si="12"/>
        <v>Por vencer</v>
      </c>
      <c r="O415" s="19">
        <v>45567</v>
      </c>
      <c r="P415" s="2"/>
      <c r="Q415" s="2">
        <f t="shared" si="13"/>
        <v>-45567</v>
      </c>
    </row>
    <row r="416" spans="3:17" x14ac:dyDescent="0.25">
      <c r="C416" s="13" t="s">
        <v>1040</v>
      </c>
      <c r="D416" s="13" t="s">
        <v>1041</v>
      </c>
      <c r="E416" s="10">
        <v>1137682366</v>
      </c>
      <c r="F416" t="s">
        <v>35</v>
      </c>
      <c r="G416" t="s">
        <v>1042</v>
      </c>
      <c r="H416" s="14">
        <v>3</v>
      </c>
      <c r="I416" s="10" t="s">
        <v>28</v>
      </c>
      <c r="J416" s="1">
        <v>45573</v>
      </c>
      <c r="K416" s="1">
        <v>45601</v>
      </c>
      <c r="L416" s="25">
        <f ca="1">CLIENTES[[#This Row],[Fecha Vencimiento]]-$J$6</f>
        <v>6</v>
      </c>
      <c r="N416" s="1" t="str">
        <f t="shared" ca="1" si="12"/>
        <v>Al dia</v>
      </c>
      <c r="O416" s="19"/>
      <c r="P416" s="2"/>
      <c r="Q416" s="2">
        <f t="shared" si="13"/>
        <v>0</v>
      </c>
    </row>
    <row r="417" spans="3:17" x14ac:dyDescent="0.25">
      <c r="C417" s="13" t="s">
        <v>1043</v>
      </c>
      <c r="D417" s="13" t="s">
        <v>1044</v>
      </c>
      <c r="E417" s="10">
        <v>1127797314</v>
      </c>
      <c r="F417" t="s">
        <v>35</v>
      </c>
      <c r="G417" t="s">
        <v>1045</v>
      </c>
      <c r="H417" s="14">
        <v>5</v>
      </c>
      <c r="I417" s="10" t="s">
        <v>28</v>
      </c>
      <c r="J417" s="1">
        <v>45584</v>
      </c>
      <c r="K417" s="1">
        <v>45615</v>
      </c>
      <c r="L417" s="25">
        <f ca="1">CLIENTES[[#This Row],[Fecha Vencimiento]]-$J$6</f>
        <v>20</v>
      </c>
      <c r="N417" s="1" t="str">
        <f t="shared" ca="1" si="12"/>
        <v>Al dia</v>
      </c>
      <c r="O417" s="19"/>
      <c r="P417" s="2"/>
      <c r="Q417" s="2">
        <f t="shared" si="13"/>
        <v>0</v>
      </c>
    </row>
    <row r="418" spans="3:17" x14ac:dyDescent="0.25">
      <c r="C418" s="13" t="s">
        <v>1046</v>
      </c>
      <c r="D418" s="13" t="s">
        <v>1047</v>
      </c>
      <c r="E418" s="10">
        <v>1127797314</v>
      </c>
      <c r="F418" t="s">
        <v>35</v>
      </c>
      <c r="G418" t="s">
        <v>1048</v>
      </c>
      <c r="H418" s="14">
        <v>6</v>
      </c>
      <c r="I418" s="10" t="s">
        <v>28</v>
      </c>
      <c r="J418" s="1">
        <v>45586</v>
      </c>
      <c r="K418" s="1">
        <v>45615</v>
      </c>
      <c r="L418" s="25">
        <f ca="1">CLIENTES[[#This Row],[Fecha Vencimiento]]-$J$6</f>
        <v>20</v>
      </c>
      <c r="N418" s="1" t="str">
        <f t="shared" ca="1" si="12"/>
        <v>Al dia</v>
      </c>
      <c r="O418" s="19"/>
      <c r="P418" s="2"/>
      <c r="Q418" s="2">
        <f t="shared" si="13"/>
        <v>0</v>
      </c>
    </row>
    <row r="419" spans="3:17" x14ac:dyDescent="0.25">
      <c r="C419" s="13" t="s">
        <v>1049</v>
      </c>
      <c r="D419" s="13" t="s">
        <v>1050</v>
      </c>
      <c r="E419" s="10">
        <v>1133455435</v>
      </c>
      <c r="F419" t="s">
        <v>35</v>
      </c>
      <c r="G419" t="s">
        <v>1051</v>
      </c>
      <c r="H419" s="14">
        <v>2</v>
      </c>
      <c r="I419" s="10" t="s">
        <v>28</v>
      </c>
      <c r="J419" s="1">
        <v>45593</v>
      </c>
      <c r="K419" s="1">
        <v>45624</v>
      </c>
      <c r="L419" s="25">
        <f ca="1">CLIENTES[[#This Row],[Fecha Vencimiento]]-$J$6</f>
        <v>29</v>
      </c>
      <c r="N419" s="1" t="str">
        <f t="shared" ca="1" si="12"/>
        <v>Al dia</v>
      </c>
      <c r="O419" s="19">
        <v>45563</v>
      </c>
      <c r="P419" s="2"/>
      <c r="Q419" s="2">
        <f t="shared" si="13"/>
        <v>-45563</v>
      </c>
    </row>
    <row r="420" spans="3:17" x14ac:dyDescent="0.25">
      <c r="C420" s="13" t="s">
        <v>1052</v>
      </c>
      <c r="D420" s="13" t="s">
        <v>1053</v>
      </c>
      <c r="E420" s="10">
        <v>1171182850</v>
      </c>
      <c r="F420" t="s">
        <v>35</v>
      </c>
      <c r="G420" t="s">
        <v>1054</v>
      </c>
      <c r="H420" s="14">
        <v>4</v>
      </c>
      <c r="I420" s="10" t="s">
        <v>28</v>
      </c>
      <c r="J420" s="1">
        <v>45566</v>
      </c>
      <c r="K420" s="1">
        <v>45593</v>
      </c>
      <c r="L420" s="25">
        <f ca="1">CLIENTES[[#This Row],[Fecha Vencimiento]]-$J$6</f>
        <v>-2</v>
      </c>
      <c r="N420" s="1" t="str">
        <f t="shared" ca="1" si="12"/>
        <v>Vencido</v>
      </c>
      <c r="O420" s="19"/>
      <c r="P420" s="2"/>
      <c r="Q420" s="2">
        <f t="shared" si="13"/>
        <v>0</v>
      </c>
    </row>
    <row r="421" spans="3:17" x14ac:dyDescent="0.25">
      <c r="C421" s="13" t="s">
        <v>1055</v>
      </c>
      <c r="D421" s="13" t="s">
        <v>1056</v>
      </c>
      <c r="E421" s="10">
        <v>1126344105</v>
      </c>
      <c r="F421" t="s">
        <v>35</v>
      </c>
      <c r="G421" t="s">
        <v>1057</v>
      </c>
      <c r="H421" s="14">
        <v>5</v>
      </c>
      <c r="I421" s="10" t="s">
        <v>28</v>
      </c>
      <c r="J421" s="1">
        <v>45575</v>
      </c>
      <c r="K421" s="1">
        <v>45607</v>
      </c>
      <c r="L421" s="25">
        <f ca="1">CLIENTES[[#This Row],[Fecha Vencimiento]]-$J$6</f>
        <v>12</v>
      </c>
      <c r="N421" s="1" t="str">
        <f t="shared" ca="1" si="12"/>
        <v>Al dia</v>
      </c>
      <c r="O421" s="19"/>
      <c r="P421" s="2"/>
      <c r="Q421" s="2">
        <f t="shared" si="13"/>
        <v>0</v>
      </c>
    </row>
    <row r="422" spans="3:17" x14ac:dyDescent="0.25">
      <c r="C422" s="13" t="s">
        <v>1055</v>
      </c>
      <c r="D422" s="13" t="s">
        <v>1056</v>
      </c>
      <c r="E422" s="10">
        <v>1126344105</v>
      </c>
      <c r="F422" t="s">
        <v>35</v>
      </c>
      <c r="G422" t="s">
        <v>1058</v>
      </c>
      <c r="H422" s="14">
        <v>5</v>
      </c>
      <c r="I422" s="10" t="s">
        <v>28</v>
      </c>
      <c r="J422" s="1">
        <v>45575</v>
      </c>
      <c r="K422" s="1">
        <v>45607</v>
      </c>
      <c r="L422" s="25">
        <f ca="1">CLIENTES[[#This Row],[Fecha Vencimiento]]-$J$6</f>
        <v>12</v>
      </c>
      <c r="N422" s="1" t="str">
        <f t="shared" ca="1" si="12"/>
        <v>Al dia</v>
      </c>
      <c r="O422" s="19"/>
      <c r="P422" s="2"/>
      <c r="Q422" s="2">
        <f t="shared" si="13"/>
        <v>0</v>
      </c>
    </row>
    <row r="423" spans="3:17" x14ac:dyDescent="0.25">
      <c r="C423" s="13" t="s">
        <v>1059</v>
      </c>
      <c r="D423" s="13" t="s">
        <v>1060</v>
      </c>
      <c r="E423" s="10" t="s">
        <v>3106</v>
      </c>
      <c r="F423" t="s">
        <v>35</v>
      </c>
      <c r="G423" t="s">
        <v>1061</v>
      </c>
      <c r="H423" s="14">
        <v>4</v>
      </c>
      <c r="I423" s="10" t="s">
        <v>28</v>
      </c>
      <c r="J423" s="1">
        <v>45568</v>
      </c>
      <c r="K423" s="1">
        <v>45600</v>
      </c>
      <c r="L423" s="25">
        <f ca="1">CLIENTES[[#This Row],[Fecha Vencimiento]]-$J$6</f>
        <v>5</v>
      </c>
      <c r="N423" s="1" t="str">
        <f t="shared" ca="1" si="12"/>
        <v>Al dia</v>
      </c>
      <c r="O423" s="19"/>
      <c r="P423" s="2"/>
      <c r="Q423" s="2">
        <f t="shared" si="13"/>
        <v>0</v>
      </c>
    </row>
    <row r="424" spans="3:17" x14ac:dyDescent="0.25">
      <c r="C424" s="13" t="s">
        <v>1059</v>
      </c>
      <c r="D424" s="13" t="s">
        <v>543</v>
      </c>
      <c r="F424" t="s">
        <v>35</v>
      </c>
      <c r="G424" t="s">
        <v>1062</v>
      </c>
      <c r="H424" s="14">
        <v>1</v>
      </c>
      <c r="I424" s="10" t="s">
        <v>28</v>
      </c>
      <c r="J424" s="1">
        <v>45570</v>
      </c>
      <c r="K424" s="1">
        <v>45601</v>
      </c>
      <c r="L424" s="25">
        <f ca="1">CLIENTES[[#This Row],[Fecha Vencimiento]]-$J$6</f>
        <v>6</v>
      </c>
      <c r="N424" s="1" t="str">
        <f t="shared" ca="1" si="12"/>
        <v>Al dia</v>
      </c>
      <c r="O424" s="19">
        <v>45570</v>
      </c>
      <c r="P424" s="2"/>
      <c r="Q424" s="2">
        <f t="shared" si="13"/>
        <v>-45570</v>
      </c>
    </row>
    <row r="425" spans="3:17" x14ac:dyDescent="0.25">
      <c r="C425" s="13" t="s">
        <v>1059</v>
      </c>
      <c r="D425" s="13" t="s">
        <v>1063</v>
      </c>
      <c r="E425" s="10">
        <v>1159269639</v>
      </c>
      <c r="F425" t="s">
        <v>35</v>
      </c>
      <c r="G425" t="s">
        <v>1064</v>
      </c>
      <c r="H425" s="14">
        <v>1</v>
      </c>
      <c r="I425" s="10" t="s">
        <v>28</v>
      </c>
      <c r="J425" s="1">
        <v>45545</v>
      </c>
      <c r="K425" s="1">
        <v>45575</v>
      </c>
      <c r="L425" s="25">
        <f ca="1">CLIENTES[[#This Row],[Fecha Vencimiento]]-$J$6</f>
        <v>-20</v>
      </c>
      <c r="N425" s="1" t="str">
        <f t="shared" ca="1" si="12"/>
        <v>Vencido</v>
      </c>
      <c r="O425" s="19">
        <v>45545</v>
      </c>
      <c r="P425" s="2"/>
      <c r="Q425" s="2">
        <f t="shared" si="13"/>
        <v>-45545</v>
      </c>
    </row>
    <row r="426" spans="3:17" ht="30" x14ac:dyDescent="0.25">
      <c r="C426" s="13" t="s">
        <v>1059</v>
      </c>
      <c r="D426" s="13" t="s">
        <v>117</v>
      </c>
      <c r="E426" s="34" t="s">
        <v>3114</v>
      </c>
      <c r="F426" t="s">
        <v>35</v>
      </c>
      <c r="G426" t="s">
        <v>1065</v>
      </c>
      <c r="H426" s="14">
        <v>7</v>
      </c>
      <c r="I426" s="10" t="s">
        <v>28</v>
      </c>
      <c r="J426" s="1">
        <v>45576</v>
      </c>
      <c r="K426" s="1">
        <v>45597</v>
      </c>
      <c r="L426" s="25">
        <f ca="1">CLIENTES[[#This Row],[Fecha Vencimiento]]-$J$6</f>
        <v>2</v>
      </c>
      <c r="N426" s="1" t="str">
        <f t="shared" ca="1" si="12"/>
        <v>Por vencer</v>
      </c>
      <c r="O426" s="19"/>
      <c r="P426" s="2"/>
      <c r="Q426" s="2">
        <f t="shared" si="13"/>
        <v>0</v>
      </c>
    </row>
    <row r="427" spans="3:17" x14ac:dyDescent="0.25">
      <c r="C427" t="s">
        <v>1066</v>
      </c>
      <c r="D427" t="s">
        <v>1067</v>
      </c>
      <c r="E427" s="10">
        <v>1168593959</v>
      </c>
      <c r="F427" t="s">
        <v>35</v>
      </c>
      <c r="G427" t="s">
        <v>1068</v>
      </c>
      <c r="H427" s="14">
        <v>1</v>
      </c>
      <c r="I427" s="10" t="s">
        <v>28</v>
      </c>
      <c r="J427" s="1">
        <v>45534</v>
      </c>
      <c r="K427" s="1">
        <v>45565</v>
      </c>
      <c r="L427" s="25">
        <f ca="1">CLIENTES[[#This Row],[Fecha Vencimiento]]-$J$6</f>
        <v>-30</v>
      </c>
      <c r="N427" s="1" t="str">
        <f t="shared" ca="1" si="12"/>
        <v>Vencido</v>
      </c>
      <c r="O427" s="19">
        <v>45534</v>
      </c>
      <c r="P427" s="2"/>
      <c r="Q427" s="2">
        <f t="shared" si="13"/>
        <v>-45534</v>
      </c>
    </row>
    <row r="428" spans="3:17" x14ac:dyDescent="0.25">
      <c r="C428" s="13" t="s">
        <v>1069</v>
      </c>
      <c r="D428" s="13" t="s">
        <v>398</v>
      </c>
      <c r="E428" s="10" t="s">
        <v>3117</v>
      </c>
      <c r="F428" t="s">
        <v>35</v>
      </c>
      <c r="G428" t="s">
        <v>1070</v>
      </c>
      <c r="I428" s="10" t="s">
        <v>28</v>
      </c>
      <c r="J428" s="1">
        <v>45510</v>
      </c>
      <c r="K428" s="1">
        <v>45541</v>
      </c>
      <c r="L428" s="25">
        <f ca="1">CLIENTES[[#This Row],[Fecha Vencimiento]]-$J$6</f>
        <v>-54</v>
      </c>
      <c r="N428" s="1" t="str">
        <f t="shared" ca="1" si="12"/>
        <v>Vencido</v>
      </c>
      <c r="O428" s="19"/>
      <c r="P428" s="2"/>
      <c r="Q428" s="2">
        <f t="shared" si="13"/>
        <v>0</v>
      </c>
    </row>
    <row r="429" spans="3:17" x14ac:dyDescent="0.25">
      <c r="C429" s="13" t="s">
        <v>1071</v>
      </c>
      <c r="D429" s="13" t="s">
        <v>751</v>
      </c>
      <c r="F429" t="s">
        <v>35</v>
      </c>
      <c r="G429" t="s">
        <v>1072</v>
      </c>
      <c r="I429" s="10" t="s">
        <v>28</v>
      </c>
      <c r="J429" s="1">
        <v>45478</v>
      </c>
      <c r="K429" s="1">
        <v>45509</v>
      </c>
      <c r="L429" s="25">
        <f ca="1">CLIENTES[[#This Row],[Fecha Vencimiento]]-$J$6</f>
        <v>-86</v>
      </c>
      <c r="N429" s="1" t="str">
        <f t="shared" ca="1" si="12"/>
        <v>Vencido</v>
      </c>
      <c r="O429" s="19"/>
      <c r="P429" s="2"/>
      <c r="Q429" s="2">
        <f t="shared" si="13"/>
        <v>0</v>
      </c>
    </row>
    <row r="430" spans="3:17" x14ac:dyDescent="0.25">
      <c r="C430" s="13" t="s">
        <v>1073</v>
      </c>
      <c r="D430" s="13" t="s">
        <v>1074</v>
      </c>
      <c r="F430" t="s">
        <v>232</v>
      </c>
      <c r="G430" t="s">
        <v>1075</v>
      </c>
      <c r="H430" s="14">
        <v>1</v>
      </c>
      <c r="I430" s="10" t="s">
        <v>183</v>
      </c>
      <c r="J430" s="1">
        <v>45474</v>
      </c>
      <c r="K430" s="1">
        <v>45505</v>
      </c>
      <c r="L430" s="25">
        <f ca="1">CLIENTES[[#This Row],[Fecha Vencimiento]]-$J$6</f>
        <v>-90</v>
      </c>
      <c r="N430" s="1" t="str">
        <f t="shared" ca="1" si="12"/>
        <v>Vencido</v>
      </c>
      <c r="O430" s="19">
        <v>45474</v>
      </c>
      <c r="P430" s="2"/>
      <c r="Q430" s="2">
        <f t="shared" si="13"/>
        <v>-45474</v>
      </c>
    </row>
    <row r="431" spans="3:17" x14ac:dyDescent="0.25">
      <c r="C431" s="13" t="s">
        <v>1076</v>
      </c>
      <c r="D431" s="13" t="s">
        <v>1077</v>
      </c>
      <c r="E431" s="10">
        <v>1165629262</v>
      </c>
      <c r="F431" t="s">
        <v>35</v>
      </c>
      <c r="G431" t="s">
        <v>1078</v>
      </c>
      <c r="H431" s="14">
        <v>1</v>
      </c>
      <c r="I431" s="10" t="s">
        <v>28</v>
      </c>
      <c r="J431" s="1">
        <v>45544</v>
      </c>
      <c r="K431" s="1">
        <v>45574</v>
      </c>
      <c r="L431" s="25">
        <f ca="1">CLIENTES[[#This Row],[Fecha Vencimiento]]-$J$6</f>
        <v>-21</v>
      </c>
      <c r="N431" s="1" t="str">
        <f t="shared" ca="1" si="12"/>
        <v>Vencido</v>
      </c>
      <c r="O431" s="19">
        <v>45544</v>
      </c>
      <c r="P431" s="2"/>
      <c r="Q431" s="2">
        <f t="shared" si="13"/>
        <v>-45544</v>
      </c>
    </row>
    <row r="432" spans="3:17" x14ac:dyDescent="0.25">
      <c r="C432" s="13" t="s">
        <v>1079</v>
      </c>
      <c r="D432" s="13" t="s">
        <v>1015</v>
      </c>
      <c r="E432" s="10">
        <v>1166059179</v>
      </c>
      <c r="F432" t="s">
        <v>159</v>
      </c>
      <c r="G432" t="s">
        <v>1080</v>
      </c>
      <c r="H432" s="14">
        <v>1</v>
      </c>
      <c r="I432" s="10" t="s">
        <v>28</v>
      </c>
      <c r="J432" s="1">
        <v>45565</v>
      </c>
      <c r="K432" s="1">
        <v>45595</v>
      </c>
      <c r="L432" s="25">
        <f ca="1">CLIENTES[[#This Row],[Fecha Vencimiento]]-$J$6</f>
        <v>0</v>
      </c>
      <c r="N432" s="1" t="str">
        <f t="shared" ca="1" si="12"/>
        <v>Vence hoy</v>
      </c>
      <c r="O432" s="19">
        <v>45565</v>
      </c>
      <c r="P432" s="2"/>
      <c r="Q432" s="2">
        <f t="shared" si="13"/>
        <v>-45565</v>
      </c>
    </row>
    <row r="433" spans="2:17" x14ac:dyDescent="0.25">
      <c r="C433" s="13" t="s">
        <v>1081</v>
      </c>
      <c r="D433" s="13" t="s">
        <v>1082</v>
      </c>
      <c r="F433" t="s">
        <v>35</v>
      </c>
      <c r="G433" t="s">
        <v>1083</v>
      </c>
      <c r="I433" s="10" t="s">
        <v>28</v>
      </c>
      <c r="J433" s="1">
        <v>45475</v>
      </c>
      <c r="K433" s="1">
        <v>45506</v>
      </c>
      <c r="L433" s="25">
        <f ca="1">CLIENTES[[#This Row],[Fecha Vencimiento]]-$J$6</f>
        <v>-89</v>
      </c>
      <c r="N433" s="1" t="str">
        <f t="shared" ca="1" si="12"/>
        <v>Vencido</v>
      </c>
      <c r="O433" s="19"/>
      <c r="P433" s="2"/>
      <c r="Q433" s="2">
        <f t="shared" si="13"/>
        <v>0</v>
      </c>
    </row>
    <row r="434" spans="2:17" x14ac:dyDescent="0.25">
      <c r="C434" s="13" t="s">
        <v>1084</v>
      </c>
      <c r="D434" s="13" t="s">
        <v>1085</v>
      </c>
      <c r="E434" s="10">
        <v>1135917098</v>
      </c>
      <c r="F434" t="s">
        <v>35</v>
      </c>
      <c r="G434" t="s">
        <v>1086</v>
      </c>
      <c r="H434" s="14">
        <v>2</v>
      </c>
      <c r="I434" s="10" t="s">
        <v>28</v>
      </c>
      <c r="J434" s="1">
        <v>45570</v>
      </c>
      <c r="K434" s="1">
        <v>45602</v>
      </c>
      <c r="L434" s="25">
        <f ca="1">CLIENTES[[#This Row],[Fecha Vencimiento]]-$J$6</f>
        <v>7</v>
      </c>
      <c r="N434" s="1" t="str">
        <f t="shared" ca="1" si="12"/>
        <v>Al dia</v>
      </c>
      <c r="O434" s="19">
        <v>45571</v>
      </c>
      <c r="P434" s="2"/>
      <c r="Q434" s="2">
        <f t="shared" si="13"/>
        <v>-45571</v>
      </c>
    </row>
    <row r="435" spans="2:17" x14ac:dyDescent="0.25">
      <c r="C435" s="13" t="s">
        <v>1087</v>
      </c>
      <c r="D435" s="13" t="s">
        <v>1088</v>
      </c>
      <c r="E435" s="10">
        <v>1163773783</v>
      </c>
      <c r="F435" t="s">
        <v>35</v>
      </c>
      <c r="G435" t="s">
        <v>1089</v>
      </c>
      <c r="H435" s="14">
        <v>2</v>
      </c>
      <c r="I435" s="10" t="s">
        <v>28</v>
      </c>
      <c r="J435" s="1">
        <v>45558</v>
      </c>
      <c r="K435" s="1">
        <v>45588</v>
      </c>
      <c r="L435" s="25">
        <f ca="1">CLIENTES[[#This Row],[Fecha Vencimiento]]-$J$6</f>
        <v>-7</v>
      </c>
      <c r="N435" s="1" t="str">
        <f t="shared" ref="N435:N498" ca="1" si="14">IF(L435&lt;0,"Vencido",IF(L435=0,"Vence hoy",IF(L435&lt;4,"Por vencer","Al dia")))</f>
        <v>Vencido</v>
      </c>
      <c r="O435" s="19"/>
      <c r="P435" s="2"/>
      <c r="Q435" s="2">
        <f t="shared" si="13"/>
        <v>0</v>
      </c>
    </row>
    <row r="436" spans="2:17" x14ac:dyDescent="0.25">
      <c r="C436" s="13" t="s">
        <v>1090</v>
      </c>
      <c r="D436" s="13" t="s">
        <v>1091</v>
      </c>
      <c r="E436" s="10">
        <v>1131770682</v>
      </c>
      <c r="F436" t="s">
        <v>73</v>
      </c>
      <c r="G436" t="s">
        <v>1092</v>
      </c>
      <c r="H436" s="14">
        <v>3</v>
      </c>
      <c r="I436" s="10" t="s">
        <v>1093</v>
      </c>
      <c r="J436" s="1">
        <v>45517</v>
      </c>
      <c r="K436" s="1">
        <v>45546</v>
      </c>
      <c r="L436" s="25">
        <f ca="1">CLIENTES[[#This Row],[Fecha Vencimiento]]-$J$6</f>
        <v>-49</v>
      </c>
      <c r="N436" s="1" t="str">
        <f t="shared" ca="1" si="14"/>
        <v>Vencido</v>
      </c>
      <c r="O436" s="19"/>
      <c r="P436" s="2"/>
      <c r="Q436" s="2">
        <f t="shared" si="13"/>
        <v>0</v>
      </c>
    </row>
    <row r="437" spans="2:17" x14ac:dyDescent="0.25">
      <c r="C437" s="13" t="s">
        <v>1094</v>
      </c>
      <c r="D437" s="13" t="s">
        <v>1095</v>
      </c>
      <c r="F437" t="s">
        <v>35</v>
      </c>
      <c r="G437" t="s">
        <v>1096</v>
      </c>
      <c r="I437" s="10" t="s">
        <v>28</v>
      </c>
      <c r="J437" s="1">
        <v>45446</v>
      </c>
      <c r="K437" s="1">
        <v>45476</v>
      </c>
      <c r="L437" s="25">
        <f ca="1">CLIENTES[[#This Row],[Fecha Vencimiento]]-$J$6</f>
        <v>-119</v>
      </c>
      <c r="N437" s="1" t="str">
        <f t="shared" ca="1" si="14"/>
        <v>Vencido</v>
      </c>
      <c r="O437" s="19"/>
      <c r="P437" s="2"/>
      <c r="Q437" s="2">
        <f t="shared" si="13"/>
        <v>0</v>
      </c>
    </row>
    <row r="438" spans="2:17" x14ac:dyDescent="0.25">
      <c r="B438" t="s">
        <v>1097</v>
      </c>
      <c r="C438" s="13" t="s">
        <v>1098</v>
      </c>
      <c r="D438" s="13" t="s">
        <v>44</v>
      </c>
      <c r="F438" t="s">
        <v>35</v>
      </c>
      <c r="G438" t="s">
        <v>1099</v>
      </c>
      <c r="I438" s="10" t="s">
        <v>28</v>
      </c>
      <c r="J438" s="1">
        <v>45449</v>
      </c>
      <c r="K438" s="1">
        <v>45479</v>
      </c>
      <c r="L438" s="25">
        <f ca="1">CLIENTES[[#This Row],[Fecha Vencimiento]]-$J$6</f>
        <v>-116</v>
      </c>
      <c r="N438" s="1" t="str">
        <f t="shared" ca="1" si="14"/>
        <v>Vencido</v>
      </c>
      <c r="O438" s="19"/>
      <c r="P438" s="2"/>
      <c r="Q438" s="2">
        <f t="shared" si="13"/>
        <v>0</v>
      </c>
    </row>
    <row r="439" spans="2:17" x14ac:dyDescent="0.25">
      <c r="C439" s="13" t="s">
        <v>1100</v>
      </c>
      <c r="D439" s="13" t="s">
        <v>1101</v>
      </c>
      <c r="E439" s="10">
        <v>1169542675</v>
      </c>
      <c r="F439" t="s">
        <v>35</v>
      </c>
      <c r="G439" t="s">
        <v>1102</v>
      </c>
      <c r="H439" s="14">
        <v>5</v>
      </c>
      <c r="I439" s="10" t="s">
        <v>28</v>
      </c>
      <c r="J439" s="1">
        <v>45569</v>
      </c>
      <c r="K439" s="1">
        <v>45599</v>
      </c>
      <c r="L439" s="25">
        <f ca="1">CLIENTES[[#This Row],[Fecha Vencimiento]]-$J$6</f>
        <v>4</v>
      </c>
      <c r="N439" s="1" t="str">
        <f t="shared" ca="1" si="14"/>
        <v>Al dia</v>
      </c>
      <c r="O439" s="19"/>
      <c r="P439" s="2"/>
      <c r="Q439" s="2">
        <f t="shared" si="13"/>
        <v>0</v>
      </c>
    </row>
    <row r="440" spans="2:17" x14ac:dyDescent="0.25">
      <c r="C440" s="13" t="s">
        <v>1103</v>
      </c>
      <c r="D440" s="13" t="s">
        <v>1104</v>
      </c>
      <c r="F440" t="s">
        <v>35</v>
      </c>
      <c r="G440" t="s">
        <v>1105</v>
      </c>
      <c r="I440" s="10" t="s">
        <v>28</v>
      </c>
      <c r="J440" s="1">
        <v>45469</v>
      </c>
      <c r="K440" s="1">
        <v>45499</v>
      </c>
      <c r="L440" s="25">
        <f ca="1">CLIENTES[[#This Row],[Fecha Vencimiento]]-$J$6</f>
        <v>-96</v>
      </c>
      <c r="N440" s="1" t="str">
        <f t="shared" ca="1" si="14"/>
        <v>Vencido</v>
      </c>
      <c r="O440" s="19"/>
      <c r="P440" s="2"/>
      <c r="Q440" s="2">
        <f t="shared" si="13"/>
        <v>0</v>
      </c>
    </row>
    <row r="441" spans="2:17" x14ac:dyDescent="0.25">
      <c r="C441" s="13" t="s">
        <v>1103</v>
      </c>
      <c r="D441" s="13" t="s">
        <v>1106</v>
      </c>
      <c r="F441" t="s">
        <v>35</v>
      </c>
      <c r="G441" t="s">
        <v>1107</v>
      </c>
      <c r="I441" s="10" t="s">
        <v>28</v>
      </c>
      <c r="J441" s="1">
        <v>45472</v>
      </c>
      <c r="K441" s="1">
        <v>45481</v>
      </c>
      <c r="L441" s="25">
        <f ca="1">CLIENTES[[#This Row],[Fecha Vencimiento]]-$J$6</f>
        <v>-114</v>
      </c>
      <c r="N441" s="1" t="str">
        <f t="shared" ca="1" si="14"/>
        <v>Vencido</v>
      </c>
      <c r="O441" s="19"/>
      <c r="P441" s="2"/>
      <c r="Q441" s="2">
        <f t="shared" si="13"/>
        <v>0</v>
      </c>
    </row>
    <row r="442" spans="2:17" x14ac:dyDescent="0.25">
      <c r="C442" s="13" t="s">
        <v>1103</v>
      </c>
      <c r="D442" s="13" t="s">
        <v>1108</v>
      </c>
      <c r="E442" s="10">
        <v>1134235162</v>
      </c>
      <c r="F442" t="s">
        <v>35</v>
      </c>
      <c r="G442" t="s">
        <v>1109</v>
      </c>
      <c r="H442" s="14">
        <v>2</v>
      </c>
      <c r="I442" s="10" t="s">
        <v>28</v>
      </c>
      <c r="J442" s="1">
        <v>45589</v>
      </c>
      <c r="K442" s="1">
        <v>45621</v>
      </c>
      <c r="L442" s="25">
        <f ca="1">CLIENTES[[#This Row],[Fecha Vencimiento]]-$J$6</f>
        <v>26</v>
      </c>
      <c r="N442" s="1" t="str">
        <f t="shared" ca="1" si="14"/>
        <v>Al dia</v>
      </c>
      <c r="O442" s="19">
        <v>45560</v>
      </c>
      <c r="P442" s="2"/>
      <c r="Q442" s="2">
        <f t="shared" si="13"/>
        <v>-45560</v>
      </c>
    </row>
    <row r="443" spans="2:17" x14ac:dyDescent="0.25">
      <c r="C443" s="13" t="s">
        <v>1103</v>
      </c>
      <c r="D443" s="13" t="s">
        <v>374</v>
      </c>
      <c r="E443" s="10">
        <v>1132052166</v>
      </c>
      <c r="F443" t="s">
        <v>35</v>
      </c>
      <c r="G443" t="s">
        <v>1110</v>
      </c>
      <c r="H443" s="14">
        <v>2</v>
      </c>
      <c r="I443" s="10" t="s">
        <v>28</v>
      </c>
      <c r="J443" s="1">
        <v>45594</v>
      </c>
      <c r="K443" s="1">
        <v>45623</v>
      </c>
      <c r="L443" s="25">
        <f ca="1">CLIENTES[[#This Row],[Fecha Vencimiento]]-$J$6</f>
        <v>28</v>
      </c>
      <c r="N443" s="1" t="str">
        <f t="shared" ca="1" si="14"/>
        <v>Al dia</v>
      </c>
      <c r="O443" s="19">
        <v>45562</v>
      </c>
      <c r="P443" s="2"/>
      <c r="Q443" s="2">
        <f t="shared" si="13"/>
        <v>-45562</v>
      </c>
    </row>
    <row r="444" spans="2:17" x14ac:dyDescent="0.25">
      <c r="C444" s="13" t="s">
        <v>1111</v>
      </c>
      <c r="D444" s="13" t="s">
        <v>1112</v>
      </c>
      <c r="E444" s="10" t="s">
        <v>2931</v>
      </c>
      <c r="F444" t="s">
        <v>35</v>
      </c>
      <c r="G444" t="s">
        <v>1113</v>
      </c>
      <c r="H444" s="14">
        <v>1</v>
      </c>
      <c r="I444" s="10" t="s">
        <v>28</v>
      </c>
      <c r="J444" s="1">
        <v>45578</v>
      </c>
      <c r="K444" s="1">
        <v>45609</v>
      </c>
      <c r="L444" s="25">
        <f ca="1">CLIENTES[[#This Row],[Fecha Vencimiento]]-$J$6</f>
        <v>14</v>
      </c>
      <c r="N444" s="1" t="str">
        <f t="shared" ca="1" si="14"/>
        <v>Al dia</v>
      </c>
      <c r="O444" s="19">
        <v>45578</v>
      </c>
      <c r="P444" s="2"/>
      <c r="Q444" s="2">
        <f t="shared" si="13"/>
        <v>-45578</v>
      </c>
    </row>
    <row r="445" spans="2:17" x14ac:dyDescent="0.25">
      <c r="C445" s="13" t="s">
        <v>1114</v>
      </c>
      <c r="D445" s="13" t="s">
        <v>1115</v>
      </c>
      <c r="E445" s="10">
        <v>1135679326</v>
      </c>
      <c r="F445" t="s">
        <v>35</v>
      </c>
      <c r="G445" t="s">
        <v>1116</v>
      </c>
      <c r="H445" s="14">
        <v>2</v>
      </c>
      <c r="I445" s="10" t="s">
        <v>28</v>
      </c>
      <c r="J445" s="1">
        <v>56518</v>
      </c>
      <c r="K445" s="1">
        <v>45591</v>
      </c>
      <c r="L445" s="25">
        <f ca="1">CLIENTES[[#This Row],[Fecha Vencimiento]]-$J$6</f>
        <v>-4</v>
      </c>
      <c r="N445" s="1" t="str">
        <f t="shared" ca="1" si="14"/>
        <v>Vencido</v>
      </c>
      <c r="O445" s="19">
        <v>45530</v>
      </c>
      <c r="P445" s="2"/>
      <c r="Q445" s="2">
        <f t="shared" si="13"/>
        <v>-45530</v>
      </c>
    </row>
    <row r="446" spans="2:17" x14ac:dyDescent="0.25">
      <c r="C446" s="13" t="s">
        <v>1117</v>
      </c>
      <c r="D446" s="13" t="s">
        <v>1118</v>
      </c>
      <c r="E446" s="10">
        <v>1167199835</v>
      </c>
      <c r="F446" t="s">
        <v>35</v>
      </c>
      <c r="G446" t="s">
        <v>1119</v>
      </c>
      <c r="H446" s="14">
        <v>2</v>
      </c>
      <c r="I446" s="10" t="s">
        <v>28</v>
      </c>
      <c r="J446" s="1">
        <v>45593</v>
      </c>
      <c r="K446" s="1">
        <v>45633</v>
      </c>
      <c r="L446" s="25">
        <f ca="1">CLIENTES[[#This Row],[Fecha Vencimiento]]-$J$6</f>
        <v>38</v>
      </c>
      <c r="N446" s="1" t="str">
        <f t="shared" ca="1" si="14"/>
        <v>Al dia</v>
      </c>
      <c r="O446" s="19">
        <v>45572</v>
      </c>
      <c r="P446" s="2"/>
      <c r="Q446" s="2">
        <f t="shared" si="13"/>
        <v>-45572</v>
      </c>
    </row>
    <row r="447" spans="2:17" x14ac:dyDescent="0.25">
      <c r="C447" s="13" t="s">
        <v>1120</v>
      </c>
      <c r="D447" s="13" t="s">
        <v>1121</v>
      </c>
      <c r="E447" s="10">
        <v>1133721451</v>
      </c>
      <c r="F447" t="s">
        <v>35</v>
      </c>
      <c r="G447" t="s">
        <v>1122</v>
      </c>
      <c r="H447" s="14">
        <v>3</v>
      </c>
      <c r="I447" s="10" t="s">
        <v>28</v>
      </c>
      <c r="J447" s="1">
        <v>45526</v>
      </c>
      <c r="K447" s="1">
        <v>45550</v>
      </c>
      <c r="L447" s="25">
        <f ca="1">CLIENTES[[#This Row],[Fecha Vencimiento]]-$J$6</f>
        <v>-45</v>
      </c>
      <c r="N447" s="1" t="str">
        <f t="shared" ca="1" si="14"/>
        <v>Vencido</v>
      </c>
      <c r="O447" s="19"/>
      <c r="P447" s="2"/>
      <c r="Q447" s="2">
        <f t="shared" si="13"/>
        <v>0</v>
      </c>
    </row>
    <row r="448" spans="2:17" x14ac:dyDescent="0.25">
      <c r="C448" s="13" t="s">
        <v>1123</v>
      </c>
      <c r="D448" s="13" t="s">
        <v>1124</v>
      </c>
      <c r="E448" s="10">
        <v>1157688484</v>
      </c>
      <c r="F448" t="s">
        <v>35</v>
      </c>
      <c r="G448" t="s">
        <v>1125</v>
      </c>
      <c r="H448" s="14">
        <v>6</v>
      </c>
      <c r="I448" s="10" t="s">
        <v>28</v>
      </c>
      <c r="J448" s="1">
        <v>45576</v>
      </c>
      <c r="K448" s="1">
        <v>45599</v>
      </c>
      <c r="L448" s="25">
        <f ca="1">CLIENTES[[#This Row],[Fecha Vencimiento]]-$J$6</f>
        <v>4</v>
      </c>
      <c r="N448" s="1" t="str">
        <f t="shared" ca="1" si="14"/>
        <v>Al dia</v>
      </c>
      <c r="O448" s="19"/>
      <c r="P448" s="2"/>
      <c r="Q448" s="2">
        <f t="shared" si="13"/>
        <v>0</v>
      </c>
    </row>
    <row r="449" spans="3:17" x14ac:dyDescent="0.25">
      <c r="C449" s="13" t="s">
        <v>1123</v>
      </c>
      <c r="D449" s="13" t="s">
        <v>1126</v>
      </c>
      <c r="F449" t="s">
        <v>35</v>
      </c>
      <c r="G449" t="s">
        <v>1127</v>
      </c>
      <c r="H449" s="14">
        <v>4</v>
      </c>
      <c r="I449" s="10" t="s">
        <v>28</v>
      </c>
      <c r="J449" s="1">
        <v>45576</v>
      </c>
      <c r="K449" s="1">
        <v>45606</v>
      </c>
      <c r="L449" s="25">
        <f ca="1">CLIENTES[[#This Row],[Fecha Vencimiento]]-$J$6</f>
        <v>11</v>
      </c>
      <c r="N449" s="1" t="str">
        <f t="shared" ca="1" si="14"/>
        <v>Al dia</v>
      </c>
      <c r="O449" s="19"/>
      <c r="P449" s="2"/>
      <c r="Q449" s="2">
        <f t="shared" si="13"/>
        <v>0</v>
      </c>
    </row>
    <row r="450" spans="3:17" x14ac:dyDescent="0.25">
      <c r="C450" s="13" t="s">
        <v>1128</v>
      </c>
      <c r="D450" s="13" t="s">
        <v>1129</v>
      </c>
      <c r="E450" s="10">
        <v>1157369010</v>
      </c>
      <c r="F450" t="s">
        <v>35</v>
      </c>
      <c r="G450" t="s">
        <v>1130</v>
      </c>
      <c r="I450" s="10" t="s">
        <v>28</v>
      </c>
      <c r="J450" s="1">
        <v>45521</v>
      </c>
      <c r="K450" s="1">
        <v>45534</v>
      </c>
      <c r="L450" s="25">
        <f ca="1">CLIENTES[[#This Row],[Fecha Vencimiento]]-$J$6</f>
        <v>-61</v>
      </c>
      <c r="N450" s="1" t="str">
        <f t="shared" ca="1" si="14"/>
        <v>Vencido</v>
      </c>
      <c r="O450" s="19"/>
      <c r="P450" s="2"/>
      <c r="Q450" s="2">
        <f t="shared" si="13"/>
        <v>0</v>
      </c>
    </row>
    <row r="451" spans="3:17" x14ac:dyDescent="0.25">
      <c r="C451" s="13" t="s">
        <v>1131</v>
      </c>
      <c r="D451" s="13" t="s">
        <v>1132</v>
      </c>
      <c r="E451" s="10">
        <v>1153472657</v>
      </c>
      <c r="F451" t="s">
        <v>35</v>
      </c>
      <c r="G451" t="s">
        <v>1133</v>
      </c>
      <c r="H451" s="14">
        <v>3</v>
      </c>
      <c r="I451" s="10" t="s">
        <v>28</v>
      </c>
      <c r="J451" s="1">
        <v>45566</v>
      </c>
      <c r="K451" s="1">
        <v>45597</v>
      </c>
      <c r="L451" s="25">
        <f ca="1">CLIENTES[[#This Row],[Fecha Vencimiento]]-$J$6</f>
        <v>2</v>
      </c>
      <c r="N451" s="1" t="str">
        <f t="shared" ca="1" si="14"/>
        <v>Por vencer</v>
      </c>
      <c r="O451" s="19"/>
      <c r="P451" s="2"/>
      <c r="Q451" s="2">
        <f t="shared" si="13"/>
        <v>0</v>
      </c>
    </row>
    <row r="452" spans="3:17" x14ac:dyDescent="0.25">
      <c r="C452" s="13" t="s">
        <v>1131</v>
      </c>
      <c r="D452" s="13" t="s">
        <v>1134</v>
      </c>
      <c r="E452" s="23">
        <v>2975021048</v>
      </c>
      <c r="F452" t="s">
        <v>35</v>
      </c>
      <c r="G452" t="s">
        <v>1135</v>
      </c>
      <c r="H452" s="14">
        <v>4</v>
      </c>
      <c r="I452" s="10" t="s">
        <v>28</v>
      </c>
      <c r="J452" s="1">
        <v>45567</v>
      </c>
      <c r="K452" s="1">
        <v>45593</v>
      </c>
      <c r="L452" s="25">
        <f ca="1">CLIENTES[[#This Row],[Fecha Vencimiento]]-$J$6</f>
        <v>-2</v>
      </c>
      <c r="N452" s="1" t="str">
        <f t="shared" ca="1" si="14"/>
        <v>Vencido</v>
      </c>
      <c r="O452" s="19"/>
      <c r="P452" s="2"/>
      <c r="Q452" s="2">
        <f t="shared" si="13"/>
        <v>0</v>
      </c>
    </row>
    <row r="453" spans="3:17" x14ac:dyDescent="0.25">
      <c r="C453" s="13" t="s">
        <v>1131</v>
      </c>
      <c r="D453" s="13" t="s">
        <v>1136</v>
      </c>
      <c r="E453" s="10">
        <v>1128232546</v>
      </c>
      <c r="F453" t="s">
        <v>35</v>
      </c>
      <c r="G453" t="s">
        <v>1137</v>
      </c>
      <c r="H453" s="14">
        <v>4</v>
      </c>
      <c r="I453" s="10" t="s">
        <v>28</v>
      </c>
      <c r="J453" s="1">
        <v>45545</v>
      </c>
      <c r="K453" s="1">
        <v>45569</v>
      </c>
      <c r="L453" s="25">
        <f ca="1">CLIENTES[[#This Row],[Fecha Vencimiento]]-$J$6</f>
        <v>-26</v>
      </c>
      <c r="N453" s="1" t="str">
        <f t="shared" ca="1" si="14"/>
        <v>Vencido</v>
      </c>
      <c r="O453" s="19"/>
      <c r="P453" s="2"/>
      <c r="Q453" s="2">
        <f t="shared" si="13"/>
        <v>0</v>
      </c>
    </row>
    <row r="454" spans="3:17" x14ac:dyDescent="0.25">
      <c r="C454" s="13" t="s">
        <v>1131</v>
      </c>
      <c r="D454" s="13" t="s">
        <v>272</v>
      </c>
      <c r="E454" s="10">
        <v>1131076797</v>
      </c>
      <c r="F454" t="s">
        <v>35</v>
      </c>
      <c r="G454" t="s">
        <v>1138</v>
      </c>
      <c r="H454" s="14">
        <v>5</v>
      </c>
      <c r="I454" s="10" t="s">
        <v>28</v>
      </c>
      <c r="J454" s="1">
        <v>45580</v>
      </c>
      <c r="K454" s="1">
        <v>45620</v>
      </c>
      <c r="L454" s="25">
        <f ca="1">CLIENTES[[#This Row],[Fecha Vencimiento]]-$J$6</f>
        <v>25</v>
      </c>
      <c r="N454" s="1" t="str">
        <f t="shared" ca="1" si="14"/>
        <v>Al dia</v>
      </c>
      <c r="O454" s="19"/>
      <c r="P454" s="2"/>
      <c r="Q454" s="2">
        <f t="shared" si="13"/>
        <v>0</v>
      </c>
    </row>
    <row r="455" spans="3:17" x14ac:dyDescent="0.25">
      <c r="C455" s="13" t="s">
        <v>1131</v>
      </c>
      <c r="D455" s="13" t="s">
        <v>1139</v>
      </c>
      <c r="F455" t="s">
        <v>35</v>
      </c>
      <c r="G455" t="s">
        <v>1140</v>
      </c>
      <c r="I455" s="10" t="s">
        <v>28</v>
      </c>
      <c r="J455" s="1">
        <v>45490</v>
      </c>
      <c r="K455" s="1">
        <v>45522</v>
      </c>
      <c r="L455" s="25">
        <f ca="1">CLIENTES[[#This Row],[Fecha Vencimiento]]-$J$6</f>
        <v>-73</v>
      </c>
      <c r="N455" s="1" t="str">
        <f t="shared" ca="1" si="14"/>
        <v>Vencido</v>
      </c>
      <c r="O455" s="19"/>
      <c r="P455" s="2"/>
      <c r="Q455" s="2">
        <f t="shared" si="13"/>
        <v>0</v>
      </c>
    </row>
    <row r="456" spans="3:17" x14ac:dyDescent="0.25">
      <c r="C456" s="13" t="s">
        <v>1131</v>
      </c>
      <c r="D456" s="13" t="s">
        <v>1134</v>
      </c>
      <c r="E456" s="10">
        <v>2975021048</v>
      </c>
      <c r="F456" t="s">
        <v>35</v>
      </c>
      <c r="G456" t="s">
        <v>1141</v>
      </c>
      <c r="H456" s="14">
        <v>3</v>
      </c>
      <c r="I456" s="10" t="s">
        <v>28</v>
      </c>
      <c r="J456" s="1">
        <v>45595</v>
      </c>
      <c r="K456" s="1">
        <v>45624</v>
      </c>
      <c r="L456" s="25">
        <f ca="1">CLIENTES[[#This Row],[Fecha Vencimiento]]-$J$6</f>
        <v>29</v>
      </c>
      <c r="N456" s="1" t="str">
        <f t="shared" ca="1" si="14"/>
        <v>Al dia</v>
      </c>
      <c r="O456" s="19"/>
      <c r="P456" s="2"/>
      <c r="Q456" s="2">
        <f t="shared" ref="Q456:Q519" si="15">P456-O456</f>
        <v>0</v>
      </c>
    </row>
    <row r="457" spans="3:17" x14ac:dyDescent="0.25">
      <c r="C457" s="13" t="s">
        <v>1142</v>
      </c>
      <c r="D457" s="13" t="s">
        <v>1143</v>
      </c>
      <c r="F457" t="s">
        <v>35</v>
      </c>
      <c r="G457" t="s">
        <v>1144</v>
      </c>
      <c r="H457" s="14">
        <v>6</v>
      </c>
      <c r="I457" s="10" t="s">
        <v>28</v>
      </c>
      <c r="J457" s="1">
        <v>45572</v>
      </c>
      <c r="K457" s="1">
        <v>45605</v>
      </c>
      <c r="L457" s="25">
        <f ca="1">CLIENTES[[#This Row],[Fecha Vencimiento]]-$J$6</f>
        <v>10</v>
      </c>
      <c r="N457" s="1" t="str">
        <f t="shared" ca="1" si="14"/>
        <v>Al dia</v>
      </c>
      <c r="O457" s="19"/>
      <c r="P457" s="2"/>
      <c r="Q457" s="2">
        <f t="shared" si="15"/>
        <v>0</v>
      </c>
    </row>
    <row r="458" spans="3:17" x14ac:dyDescent="0.25">
      <c r="C458" s="13" t="s">
        <v>1145</v>
      </c>
      <c r="D458" s="13" t="s">
        <v>1146</v>
      </c>
      <c r="F458" t="s">
        <v>35</v>
      </c>
      <c r="G458" t="s">
        <v>1147</v>
      </c>
      <c r="I458" s="10" t="s">
        <v>28</v>
      </c>
      <c r="J458" s="1">
        <v>45510</v>
      </c>
      <c r="K458" s="1">
        <v>45528</v>
      </c>
      <c r="L458" s="25">
        <f ca="1">CLIENTES[[#This Row],[Fecha Vencimiento]]-$J$6</f>
        <v>-67</v>
      </c>
      <c r="N458" s="1" t="str">
        <f t="shared" ca="1" si="14"/>
        <v>Vencido</v>
      </c>
      <c r="O458" s="19"/>
      <c r="P458" s="2"/>
      <c r="Q458" s="2">
        <f t="shared" si="15"/>
        <v>0</v>
      </c>
    </row>
    <row r="459" spans="3:17" x14ac:dyDescent="0.25">
      <c r="C459" s="13" t="s">
        <v>1145</v>
      </c>
      <c r="D459" s="13" t="s">
        <v>1148</v>
      </c>
      <c r="E459" s="10" t="s">
        <v>2931</v>
      </c>
      <c r="F459" t="s">
        <v>35</v>
      </c>
      <c r="G459" t="s">
        <v>1149</v>
      </c>
      <c r="H459" s="14">
        <v>6</v>
      </c>
      <c r="I459" s="10" t="s">
        <v>28</v>
      </c>
      <c r="J459" s="1">
        <v>45555</v>
      </c>
      <c r="K459" s="1">
        <v>45578</v>
      </c>
      <c r="L459" s="25">
        <f ca="1">CLIENTES[[#This Row],[Fecha Vencimiento]]-$J$6</f>
        <v>-17</v>
      </c>
      <c r="N459" s="1" t="str">
        <f t="shared" ca="1" si="14"/>
        <v>Vencido</v>
      </c>
      <c r="O459" s="19"/>
      <c r="P459" s="2"/>
      <c r="Q459" s="2">
        <f t="shared" si="15"/>
        <v>0</v>
      </c>
    </row>
    <row r="460" spans="3:17" x14ac:dyDescent="0.25">
      <c r="C460" s="13" t="s">
        <v>1150</v>
      </c>
      <c r="D460" s="13" t="s">
        <v>1151</v>
      </c>
      <c r="E460" s="10" t="s">
        <v>3120</v>
      </c>
      <c r="F460" t="s">
        <v>35</v>
      </c>
      <c r="G460" t="s">
        <v>1152</v>
      </c>
      <c r="H460" s="14">
        <v>3</v>
      </c>
      <c r="I460" s="10" t="s">
        <v>28</v>
      </c>
      <c r="J460" s="1">
        <v>45594</v>
      </c>
      <c r="K460" s="1">
        <v>45620</v>
      </c>
      <c r="L460" s="25">
        <f ca="1">CLIENTES[[#This Row],[Fecha Vencimiento]]-$J$6</f>
        <v>25</v>
      </c>
      <c r="N460" s="1" t="str">
        <f t="shared" ca="1" si="14"/>
        <v>Al dia</v>
      </c>
      <c r="O460" s="19">
        <v>45528</v>
      </c>
      <c r="P460" s="2"/>
      <c r="Q460" s="2">
        <f t="shared" si="15"/>
        <v>-45528</v>
      </c>
    </row>
    <row r="461" spans="3:17" x14ac:dyDescent="0.25">
      <c r="C461" s="13" t="s">
        <v>1153</v>
      </c>
      <c r="D461" s="13" t="s">
        <v>1154</v>
      </c>
      <c r="E461" s="10">
        <v>1134072686</v>
      </c>
      <c r="F461" t="s">
        <v>35</v>
      </c>
      <c r="G461" t="s">
        <v>1155</v>
      </c>
      <c r="H461" s="14">
        <v>2</v>
      </c>
      <c r="I461" s="10" t="s">
        <v>28</v>
      </c>
      <c r="J461" s="1">
        <v>45569</v>
      </c>
      <c r="K461" s="1">
        <v>45600</v>
      </c>
      <c r="L461" s="25">
        <f ca="1">CLIENTES[[#This Row],[Fecha Vencimiento]]-$J$6</f>
        <v>5</v>
      </c>
      <c r="N461" s="1" t="str">
        <f t="shared" ca="1" si="14"/>
        <v>Al dia</v>
      </c>
      <c r="O461" s="19">
        <v>45539</v>
      </c>
      <c r="P461" s="2"/>
      <c r="Q461" s="2">
        <f t="shared" si="15"/>
        <v>-45539</v>
      </c>
    </row>
    <row r="462" spans="3:17" x14ac:dyDescent="0.25">
      <c r="C462" s="13" t="s">
        <v>1153</v>
      </c>
      <c r="D462" s="13" t="s">
        <v>1154</v>
      </c>
      <c r="E462" s="10">
        <v>1134072686</v>
      </c>
      <c r="F462" t="s">
        <v>35</v>
      </c>
      <c r="G462" t="s">
        <v>1156</v>
      </c>
      <c r="H462" s="14">
        <v>3</v>
      </c>
      <c r="I462" s="10" t="s">
        <v>28</v>
      </c>
      <c r="J462" s="1">
        <v>45569</v>
      </c>
      <c r="K462" s="1">
        <v>45608</v>
      </c>
      <c r="L462" s="25">
        <f ca="1">CLIENTES[[#This Row],[Fecha Vencimiento]]-$J$6</f>
        <v>13</v>
      </c>
      <c r="N462" s="1" t="str">
        <f t="shared" ca="1" si="14"/>
        <v>Al dia</v>
      </c>
      <c r="O462" s="19"/>
      <c r="P462" s="2"/>
      <c r="Q462" s="2">
        <f t="shared" si="15"/>
        <v>0</v>
      </c>
    </row>
    <row r="463" spans="3:17" x14ac:dyDescent="0.25">
      <c r="C463" s="13" t="s">
        <v>1157</v>
      </c>
      <c r="D463" s="13" t="s">
        <v>1158</v>
      </c>
      <c r="F463" t="s">
        <v>35</v>
      </c>
      <c r="G463" t="s">
        <v>1159</v>
      </c>
      <c r="I463" s="10" t="s">
        <v>28</v>
      </c>
      <c r="J463" s="1">
        <v>45460</v>
      </c>
      <c r="K463" s="1">
        <v>45491</v>
      </c>
      <c r="L463" s="25">
        <f ca="1">CLIENTES[[#This Row],[Fecha Vencimiento]]-$J$6</f>
        <v>-104</v>
      </c>
      <c r="N463" s="1" t="str">
        <f t="shared" ca="1" si="14"/>
        <v>Vencido</v>
      </c>
      <c r="O463" s="19"/>
      <c r="P463" s="2"/>
      <c r="Q463" s="2">
        <f t="shared" si="15"/>
        <v>0</v>
      </c>
    </row>
    <row r="464" spans="3:17" x14ac:dyDescent="0.25">
      <c r="C464" s="13" t="s">
        <v>1160</v>
      </c>
      <c r="D464" s="13" t="s">
        <v>1161</v>
      </c>
      <c r="F464" t="s">
        <v>35</v>
      </c>
      <c r="G464" t="s">
        <v>1162</v>
      </c>
      <c r="I464" s="10" t="s">
        <v>28</v>
      </c>
      <c r="J464" s="1">
        <v>45498</v>
      </c>
      <c r="K464" s="1">
        <v>45529</v>
      </c>
      <c r="L464" s="25">
        <f ca="1">CLIENTES[[#This Row],[Fecha Vencimiento]]-$J$6</f>
        <v>-66</v>
      </c>
      <c r="N464" s="1" t="str">
        <f t="shared" ca="1" si="14"/>
        <v>Vencido</v>
      </c>
      <c r="O464" s="19"/>
      <c r="P464" s="2"/>
      <c r="Q464" s="2">
        <f t="shared" si="15"/>
        <v>0</v>
      </c>
    </row>
    <row r="465" spans="3:17" x14ac:dyDescent="0.25">
      <c r="C465" s="13" t="s">
        <v>1163</v>
      </c>
      <c r="D465" s="13" t="s">
        <v>1164</v>
      </c>
      <c r="E465" s="10">
        <v>1160332442</v>
      </c>
      <c r="F465" t="s">
        <v>35</v>
      </c>
      <c r="G465" t="s">
        <v>1165</v>
      </c>
      <c r="H465" s="14">
        <v>2</v>
      </c>
      <c r="I465" s="10" t="s">
        <v>28</v>
      </c>
      <c r="J465" s="1">
        <v>45570</v>
      </c>
      <c r="K465" s="1">
        <v>45601</v>
      </c>
      <c r="L465" s="25">
        <f ca="1">CLIENTES[[#This Row],[Fecha Vencimiento]]-$J$6</f>
        <v>6</v>
      </c>
      <c r="N465" s="1" t="str">
        <f t="shared" ca="1" si="14"/>
        <v>Al dia</v>
      </c>
      <c r="O465" s="19"/>
      <c r="P465" s="2"/>
      <c r="Q465" s="2">
        <f t="shared" si="15"/>
        <v>0</v>
      </c>
    </row>
    <row r="466" spans="3:17" x14ac:dyDescent="0.25">
      <c r="C466" s="13" t="s">
        <v>1166</v>
      </c>
      <c r="D466" s="13" t="s">
        <v>944</v>
      </c>
      <c r="E466" s="10">
        <v>1128464687</v>
      </c>
      <c r="F466" t="s">
        <v>35</v>
      </c>
      <c r="G466" t="s">
        <v>1167</v>
      </c>
      <c r="H466" s="14">
        <v>3</v>
      </c>
      <c r="I466" s="10" t="s">
        <v>28</v>
      </c>
      <c r="J466" s="1">
        <v>45549</v>
      </c>
      <c r="K466" s="1">
        <v>45578</v>
      </c>
      <c r="L466" s="25">
        <f ca="1">CLIENTES[[#This Row],[Fecha Vencimiento]]-$J$6</f>
        <v>-17</v>
      </c>
      <c r="N466" s="1" t="str">
        <f t="shared" ca="1" si="14"/>
        <v>Vencido</v>
      </c>
      <c r="O466" s="19"/>
      <c r="P466" s="2"/>
      <c r="Q466" s="2">
        <f t="shared" si="15"/>
        <v>0</v>
      </c>
    </row>
    <row r="467" spans="3:17" x14ac:dyDescent="0.25">
      <c r="C467" s="13" t="s">
        <v>1168</v>
      </c>
      <c r="D467" s="13" t="s">
        <v>1169</v>
      </c>
      <c r="E467" s="10">
        <v>1139081256</v>
      </c>
      <c r="F467" t="s">
        <v>35</v>
      </c>
      <c r="G467" t="s">
        <v>1170</v>
      </c>
      <c r="I467" s="10" t="s">
        <v>28</v>
      </c>
      <c r="J467" s="1">
        <v>45518</v>
      </c>
      <c r="K467" s="1">
        <v>45549</v>
      </c>
      <c r="L467" s="25">
        <f ca="1">CLIENTES[[#This Row],[Fecha Vencimiento]]-$J$6</f>
        <v>-46</v>
      </c>
      <c r="N467" s="1" t="str">
        <f t="shared" ca="1" si="14"/>
        <v>Vencido</v>
      </c>
      <c r="O467" s="19"/>
      <c r="P467" s="2"/>
      <c r="Q467" s="2">
        <f t="shared" si="15"/>
        <v>0</v>
      </c>
    </row>
    <row r="468" spans="3:17" x14ac:dyDescent="0.25">
      <c r="C468" s="13" t="s">
        <v>1171</v>
      </c>
      <c r="D468" s="13" t="s">
        <v>1172</v>
      </c>
      <c r="E468" s="10">
        <v>1140570801</v>
      </c>
      <c r="F468" t="s">
        <v>35</v>
      </c>
      <c r="G468" t="s">
        <v>1173</v>
      </c>
      <c r="H468" s="14">
        <v>2</v>
      </c>
      <c r="I468" s="10" t="s">
        <v>28</v>
      </c>
      <c r="J468" s="1">
        <v>45563</v>
      </c>
      <c r="K468" s="1">
        <v>45591</v>
      </c>
      <c r="L468" s="25">
        <f ca="1">CLIENTES[[#This Row],[Fecha Vencimiento]]-$J$6</f>
        <v>-4</v>
      </c>
      <c r="N468" s="1" t="str">
        <f t="shared" ca="1" si="14"/>
        <v>Vencido</v>
      </c>
      <c r="O468" s="19">
        <v>45530</v>
      </c>
      <c r="P468" s="2"/>
      <c r="Q468" s="2">
        <f t="shared" si="15"/>
        <v>-45530</v>
      </c>
    </row>
    <row r="469" spans="3:17" x14ac:dyDescent="0.25">
      <c r="C469" s="13" t="s">
        <v>1171</v>
      </c>
      <c r="D469" s="13" t="s">
        <v>127</v>
      </c>
      <c r="E469" s="10">
        <v>1141499954</v>
      </c>
      <c r="F469" t="s">
        <v>35</v>
      </c>
      <c r="G469" t="s">
        <v>1174</v>
      </c>
      <c r="H469" s="14">
        <v>3</v>
      </c>
      <c r="I469" s="10" t="s">
        <v>28</v>
      </c>
      <c r="J469" s="1">
        <v>45581</v>
      </c>
      <c r="K469" s="1">
        <v>45612</v>
      </c>
      <c r="L469" s="25">
        <f ca="1">CLIENTES[[#This Row],[Fecha Vencimiento]]-$J$6</f>
        <v>17</v>
      </c>
      <c r="N469" s="1" t="str">
        <f t="shared" ca="1" si="14"/>
        <v>Al dia</v>
      </c>
      <c r="O469" s="19"/>
      <c r="P469" s="2"/>
      <c r="Q469" s="2">
        <f t="shared" si="15"/>
        <v>0</v>
      </c>
    </row>
    <row r="470" spans="3:17" x14ac:dyDescent="0.25">
      <c r="C470" s="13" t="s">
        <v>1171</v>
      </c>
      <c r="D470" s="13" t="s">
        <v>1175</v>
      </c>
      <c r="E470" s="10">
        <v>1151071259</v>
      </c>
      <c r="F470" t="s">
        <v>35</v>
      </c>
      <c r="G470" t="s">
        <v>1176</v>
      </c>
      <c r="H470" s="14">
        <v>6</v>
      </c>
      <c r="I470" s="10" t="s">
        <v>28</v>
      </c>
      <c r="J470" s="1">
        <v>45591</v>
      </c>
      <c r="K470" s="1">
        <v>45613</v>
      </c>
      <c r="L470" s="25">
        <f ca="1">CLIENTES[[#This Row],[Fecha Vencimiento]]-$J$6</f>
        <v>18</v>
      </c>
      <c r="N470" s="1" t="str">
        <f t="shared" ca="1" si="14"/>
        <v>Al dia</v>
      </c>
      <c r="O470" s="19"/>
      <c r="P470" s="2"/>
      <c r="Q470" s="2">
        <f t="shared" si="15"/>
        <v>0</v>
      </c>
    </row>
    <row r="471" spans="3:17" x14ac:dyDescent="0.25">
      <c r="C471" s="13" t="s">
        <v>1177</v>
      </c>
      <c r="D471" s="13" t="s">
        <v>1178</v>
      </c>
      <c r="E471" s="10">
        <v>1156372761</v>
      </c>
      <c r="F471" t="s">
        <v>35</v>
      </c>
      <c r="G471" t="s">
        <v>1179</v>
      </c>
      <c r="H471" s="14">
        <v>7</v>
      </c>
      <c r="I471" s="10" t="s">
        <v>28</v>
      </c>
      <c r="J471" s="1">
        <v>45580</v>
      </c>
      <c r="K471" s="1">
        <v>45609</v>
      </c>
      <c r="L471" s="25">
        <f ca="1">CLIENTES[[#This Row],[Fecha Vencimiento]]-$J$6</f>
        <v>14</v>
      </c>
      <c r="N471" s="1" t="str">
        <f t="shared" ca="1" si="14"/>
        <v>Al dia</v>
      </c>
      <c r="O471" s="19"/>
      <c r="P471" s="2"/>
      <c r="Q471" s="2">
        <f t="shared" si="15"/>
        <v>0</v>
      </c>
    </row>
    <row r="472" spans="3:17" x14ac:dyDescent="0.25">
      <c r="C472" s="13" t="s">
        <v>1180</v>
      </c>
      <c r="D472" s="13" t="s">
        <v>1181</v>
      </c>
      <c r="E472" s="10">
        <v>1128340816</v>
      </c>
      <c r="F472" t="s">
        <v>35</v>
      </c>
      <c r="G472" t="s">
        <v>1182</v>
      </c>
      <c r="H472" s="14">
        <v>6</v>
      </c>
      <c r="I472" s="10" t="s">
        <v>28</v>
      </c>
      <c r="J472" s="1">
        <v>45578</v>
      </c>
      <c r="K472" s="1">
        <v>45609</v>
      </c>
      <c r="L472" s="25">
        <f ca="1">CLIENTES[[#This Row],[Fecha Vencimiento]]-$J$6</f>
        <v>14</v>
      </c>
      <c r="N472" s="1" t="str">
        <f t="shared" ca="1" si="14"/>
        <v>Al dia</v>
      </c>
      <c r="O472" s="19"/>
      <c r="P472" s="2"/>
      <c r="Q472" s="2">
        <f t="shared" si="15"/>
        <v>0</v>
      </c>
    </row>
    <row r="473" spans="3:17" x14ac:dyDescent="0.25">
      <c r="C473" s="13" t="s">
        <v>1183</v>
      </c>
      <c r="D473" s="13" t="s">
        <v>1184</v>
      </c>
      <c r="E473" s="10">
        <v>1157316358</v>
      </c>
      <c r="F473" t="s">
        <v>35</v>
      </c>
      <c r="G473" t="s">
        <v>1185</v>
      </c>
      <c r="I473" s="10" t="s">
        <v>28</v>
      </c>
      <c r="J473" s="1">
        <v>45523</v>
      </c>
      <c r="K473" s="1">
        <v>45554</v>
      </c>
      <c r="L473" s="25">
        <f ca="1">CLIENTES[[#This Row],[Fecha Vencimiento]]-$J$6</f>
        <v>-41</v>
      </c>
      <c r="N473" s="1" t="str">
        <f t="shared" ca="1" si="14"/>
        <v>Vencido</v>
      </c>
      <c r="O473" s="19"/>
      <c r="P473" s="2"/>
      <c r="Q473" s="2">
        <f t="shared" si="15"/>
        <v>0</v>
      </c>
    </row>
    <row r="474" spans="3:17" x14ac:dyDescent="0.25">
      <c r="C474" s="13" t="s">
        <v>1186</v>
      </c>
      <c r="D474" s="13" t="s">
        <v>1187</v>
      </c>
      <c r="E474" s="10">
        <v>1165747009</v>
      </c>
      <c r="F474" t="s">
        <v>35</v>
      </c>
      <c r="G474" t="s">
        <v>1188</v>
      </c>
      <c r="H474" s="14">
        <v>2</v>
      </c>
      <c r="I474" s="10" t="s">
        <v>28</v>
      </c>
      <c r="J474" s="1">
        <v>45563</v>
      </c>
      <c r="K474" s="1">
        <v>45591</v>
      </c>
      <c r="L474" s="25">
        <f ca="1">CLIENTES[[#This Row],[Fecha Vencimiento]]-$J$6</f>
        <v>-4</v>
      </c>
      <c r="N474" s="1" t="str">
        <f t="shared" ca="1" si="14"/>
        <v>Vencido</v>
      </c>
      <c r="O474" s="19">
        <v>45530</v>
      </c>
      <c r="P474" s="2"/>
      <c r="Q474" s="2">
        <f t="shared" si="15"/>
        <v>-45530</v>
      </c>
    </row>
    <row r="475" spans="3:17" x14ac:dyDescent="0.25">
      <c r="C475" s="13" t="s">
        <v>1189</v>
      </c>
      <c r="D475" s="13" t="s">
        <v>1190</v>
      </c>
      <c r="E475" s="10" t="s">
        <v>2931</v>
      </c>
      <c r="F475" t="s">
        <v>35</v>
      </c>
      <c r="G475" t="s">
        <v>1191</v>
      </c>
      <c r="H475" s="14">
        <v>5</v>
      </c>
      <c r="I475" s="10" t="s">
        <v>28</v>
      </c>
      <c r="J475" s="1">
        <v>45593</v>
      </c>
      <c r="K475" s="1">
        <v>45623</v>
      </c>
      <c r="L475" s="25">
        <f ca="1">CLIENTES[[#This Row],[Fecha Vencimiento]]-$J$6</f>
        <v>28</v>
      </c>
      <c r="N475" s="1" t="str">
        <f t="shared" ca="1" si="14"/>
        <v>Al dia</v>
      </c>
      <c r="O475" s="19"/>
      <c r="P475" s="2"/>
      <c r="Q475" s="2">
        <f t="shared" si="15"/>
        <v>0</v>
      </c>
    </row>
    <row r="476" spans="3:17" x14ac:dyDescent="0.25">
      <c r="C476" s="13" t="s">
        <v>1189</v>
      </c>
      <c r="D476" s="13" t="s">
        <v>1192</v>
      </c>
      <c r="E476" s="10">
        <v>1127286685</v>
      </c>
      <c r="F476" t="s">
        <v>35</v>
      </c>
      <c r="G476" t="s">
        <v>1193</v>
      </c>
      <c r="H476" s="14">
        <v>5</v>
      </c>
      <c r="I476" s="10" t="s">
        <v>28</v>
      </c>
      <c r="J476" s="1">
        <v>45587</v>
      </c>
      <c r="K476" s="1">
        <v>45620</v>
      </c>
      <c r="L476" s="25">
        <f ca="1">CLIENTES[[#This Row],[Fecha Vencimiento]]-$J$6</f>
        <v>25</v>
      </c>
      <c r="N476" s="1" t="str">
        <f t="shared" ca="1" si="14"/>
        <v>Al dia</v>
      </c>
      <c r="O476" s="19"/>
      <c r="P476" s="2"/>
      <c r="Q476" s="2">
        <f t="shared" si="15"/>
        <v>0</v>
      </c>
    </row>
    <row r="477" spans="3:17" x14ac:dyDescent="0.25">
      <c r="C477" s="13" t="s">
        <v>1189</v>
      </c>
      <c r="D477" s="13" t="s">
        <v>1194</v>
      </c>
      <c r="E477" s="10" t="s">
        <v>2931</v>
      </c>
      <c r="F477" t="s">
        <v>35</v>
      </c>
      <c r="G477" t="s">
        <v>1195</v>
      </c>
      <c r="H477" s="14">
        <v>6</v>
      </c>
      <c r="I477" s="10" t="s">
        <v>28</v>
      </c>
      <c r="J477" s="1">
        <v>45566</v>
      </c>
      <c r="K477" s="1">
        <v>45597</v>
      </c>
      <c r="L477" s="25">
        <f ca="1">CLIENTES[[#This Row],[Fecha Vencimiento]]-$J$6</f>
        <v>2</v>
      </c>
      <c r="N477" s="1" t="str">
        <f t="shared" ca="1" si="14"/>
        <v>Por vencer</v>
      </c>
      <c r="O477" s="19"/>
      <c r="P477" s="2"/>
      <c r="Q477" s="2">
        <f t="shared" si="15"/>
        <v>0</v>
      </c>
    </row>
    <row r="478" spans="3:17" x14ac:dyDescent="0.25">
      <c r="C478" s="13" t="s">
        <v>1189</v>
      </c>
      <c r="D478" s="13" t="s">
        <v>1196</v>
      </c>
      <c r="E478" s="10">
        <v>1158151679</v>
      </c>
      <c r="F478" t="s">
        <v>35</v>
      </c>
      <c r="G478" t="s">
        <v>1197</v>
      </c>
      <c r="H478" s="14">
        <v>1</v>
      </c>
      <c r="I478" s="10" t="s">
        <v>28</v>
      </c>
      <c r="J478" s="1">
        <v>45546</v>
      </c>
      <c r="K478" s="1">
        <v>45576</v>
      </c>
      <c r="L478" s="25">
        <f ca="1">CLIENTES[[#This Row],[Fecha Vencimiento]]-$J$6</f>
        <v>-19</v>
      </c>
      <c r="N478" s="1" t="str">
        <f t="shared" ca="1" si="14"/>
        <v>Vencido</v>
      </c>
      <c r="O478" s="19"/>
      <c r="P478" s="2"/>
      <c r="Q478" s="2">
        <f t="shared" si="15"/>
        <v>0</v>
      </c>
    </row>
    <row r="479" spans="3:17" x14ac:dyDescent="0.25">
      <c r="C479" s="13" t="s">
        <v>1198</v>
      </c>
      <c r="D479" s="13" t="s">
        <v>1199</v>
      </c>
      <c r="F479" t="s">
        <v>35</v>
      </c>
      <c r="G479" t="s">
        <v>1200</v>
      </c>
      <c r="I479" s="10" t="s">
        <v>28</v>
      </c>
      <c r="J479" s="1">
        <v>45500</v>
      </c>
      <c r="K479" s="1">
        <v>45528</v>
      </c>
      <c r="L479" s="25">
        <f ca="1">CLIENTES[[#This Row],[Fecha Vencimiento]]-$J$6</f>
        <v>-67</v>
      </c>
      <c r="N479" s="1" t="str">
        <f t="shared" ca="1" si="14"/>
        <v>Vencido</v>
      </c>
      <c r="O479" s="19"/>
      <c r="P479" s="2"/>
      <c r="Q479" s="2">
        <f t="shared" si="15"/>
        <v>0</v>
      </c>
    </row>
    <row r="480" spans="3:17" x14ac:dyDescent="0.25">
      <c r="C480" s="13" t="s">
        <v>1198</v>
      </c>
      <c r="D480" s="13" t="s">
        <v>1199</v>
      </c>
      <c r="E480" s="10">
        <v>1133690615</v>
      </c>
      <c r="F480" t="s">
        <v>35</v>
      </c>
      <c r="G480" t="s">
        <v>1201</v>
      </c>
      <c r="H480" s="14">
        <v>1</v>
      </c>
      <c r="I480" s="10" t="s">
        <v>28</v>
      </c>
      <c r="J480" s="1">
        <v>45594</v>
      </c>
      <c r="K480" s="1">
        <v>45626</v>
      </c>
      <c r="L480" s="25">
        <f ca="1">CLIENTES[[#This Row],[Fecha Vencimiento]]-$J$6</f>
        <v>31</v>
      </c>
      <c r="N480" s="1" t="str">
        <f t="shared" ca="1" si="14"/>
        <v>Al dia</v>
      </c>
      <c r="O480" s="19"/>
      <c r="P480" s="2"/>
      <c r="Q480" s="2">
        <f t="shared" si="15"/>
        <v>0</v>
      </c>
    </row>
    <row r="481" spans="3:17" x14ac:dyDescent="0.25">
      <c r="C481" s="13" t="s">
        <v>1198</v>
      </c>
      <c r="D481" s="13" t="s">
        <v>1199</v>
      </c>
      <c r="E481" s="10">
        <v>1133690615</v>
      </c>
      <c r="F481" t="s">
        <v>232</v>
      </c>
      <c r="G481" t="s">
        <v>1202</v>
      </c>
      <c r="H481" s="14">
        <v>3</v>
      </c>
      <c r="I481" s="10" t="s">
        <v>183</v>
      </c>
      <c r="J481" s="1">
        <v>45594</v>
      </c>
      <c r="K481" s="1">
        <v>45624</v>
      </c>
      <c r="L481" s="25">
        <f ca="1">CLIENTES[[#This Row],[Fecha Vencimiento]]-$J$6</f>
        <v>29</v>
      </c>
      <c r="N481" s="1" t="str">
        <f t="shared" ca="1" si="14"/>
        <v>Al dia</v>
      </c>
      <c r="O481" s="19"/>
      <c r="P481" s="2"/>
      <c r="Q481" s="2">
        <f t="shared" si="15"/>
        <v>0</v>
      </c>
    </row>
    <row r="482" spans="3:17" x14ac:dyDescent="0.25">
      <c r="C482" t="s">
        <v>1203</v>
      </c>
      <c r="D482" t="s">
        <v>1204</v>
      </c>
      <c r="E482" s="10">
        <v>1168795676</v>
      </c>
      <c r="F482" t="s">
        <v>35</v>
      </c>
      <c r="G482" t="s">
        <v>1205</v>
      </c>
      <c r="H482" s="14">
        <v>1</v>
      </c>
      <c r="I482" s="10" t="s">
        <v>28</v>
      </c>
      <c r="J482" s="1">
        <v>45579</v>
      </c>
      <c r="K482" s="1">
        <v>45614</v>
      </c>
      <c r="L482" s="25">
        <f ca="1">CLIENTES[[#This Row],[Fecha Vencimiento]]-$J$6</f>
        <v>19</v>
      </c>
      <c r="N482" s="1" t="str">
        <f t="shared" ca="1" si="14"/>
        <v>Al dia</v>
      </c>
      <c r="O482" s="19">
        <v>45553</v>
      </c>
      <c r="P482" s="2"/>
      <c r="Q482" s="2">
        <f t="shared" si="15"/>
        <v>-45553</v>
      </c>
    </row>
    <row r="483" spans="3:17" x14ac:dyDescent="0.25">
      <c r="C483" s="13" t="s">
        <v>1206</v>
      </c>
      <c r="D483" s="13" t="s">
        <v>1207</v>
      </c>
      <c r="E483" s="10">
        <v>1151048481</v>
      </c>
      <c r="F483" t="s">
        <v>35</v>
      </c>
      <c r="G483" t="s">
        <v>1208</v>
      </c>
      <c r="H483" s="14">
        <v>4</v>
      </c>
      <c r="I483" s="10" t="s">
        <v>28</v>
      </c>
      <c r="J483" s="1">
        <v>45569</v>
      </c>
      <c r="K483" s="1">
        <v>45600</v>
      </c>
      <c r="L483" s="25">
        <f ca="1">CLIENTES[[#This Row],[Fecha Vencimiento]]-$J$6</f>
        <v>5</v>
      </c>
      <c r="N483" s="1" t="str">
        <f t="shared" ca="1" si="14"/>
        <v>Al dia</v>
      </c>
      <c r="O483" s="19"/>
      <c r="P483" s="2"/>
      <c r="Q483" s="2">
        <f t="shared" si="15"/>
        <v>0</v>
      </c>
    </row>
    <row r="484" spans="3:17" x14ac:dyDescent="0.25">
      <c r="C484" s="13" t="s">
        <v>1206</v>
      </c>
      <c r="D484" s="13" t="s">
        <v>1209</v>
      </c>
      <c r="F484" t="s">
        <v>35</v>
      </c>
      <c r="G484" t="s">
        <v>1210</v>
      </c>
      <c r="I484" s="10" t="s">
        <v>28</v>
      </c>
      <c r="J484" s="1">
        <v>45450</v>
      </c>
      <c r="K484" s="1">
        <v>45481</v>
      </c>
      <c r="L484" s="25">
        <f ca="1">CLIENTES[[#This Row],[Fecha Vencimiento]]-$J$6</f>
        <v>-114</v>
      </c>
      <c r="N484" s="1" t="str">
        <f t="shared" ca="1" si="14"/>
        <v>Vencido</v>
      </c>
      <c r="O484" s="19"/>
      <c r="P484" s="2"/>
      <c r="Q484" s="2">
        <f t="shared" si="15"/>
        <v>0</v>
      </c>
    </row>
    <row r="485" spans="3:17" x14ac:dyDescent="0.25">
      <c r="C485" s="13" t="s">
        <v>1211</v>
      </c>
      <c r="D485" s="13" t="s">
        <v>1015</v>
      </c>
      <c r="E485" s="10">
        <v>1169722867</v>
      </c>
      <c r="F485" t="s">
        <v>35</v>
      </c>
      <c r="G485" t="s">
        <v>1212</v>
      </c>
      <c r="H485" s="14">
        <v>2</v>
      </c>
      <c r="I485" s="10" t="s">
        <v>28</v>
      </c>
      <c r="J485" s="1">
        <v>45621</v>
      </c>
      <c r="K485" s="1">
        <v>45621</v>
      </c>
      <c r="L485" s="25">
        <f ca="1">CLIENTES[[#This Row],[Fecha Vencimiento]]-$J$6</f>
        <v>26</v>
      </c>
      <c r="N485" s="1" t="str">
        <f t="shared" ca="1" si="14"/>
        <v>Al dia</v>
      </c>
      <c r="O485" s="19">
        <v>45560</v>
      </c>
      <c r="P485" s="2"/>
      <c r="Q485" s="2">
        <f t="shared" si="15"/>
        <v>-45560</v>
      </c>
    </row>
    <row r="486" spans="3:17" x14ac:dyDescent="0.25">
      <c r="C486" s="13" t="s">
        <v>1211</v>
      </c>
      <c r="D486" s="13" t="s">
        <v>1213</v>
      </c>
      <c r="E486" s="10" t="s">
        <v>2931</v>
      </c>
      <c r="F486" t="s">
        <v>35</v>
      </c>
      <c r="G486" t="s">
        <v>1214</v>
      </c>
      <c r="H486" s="14">
        <v>1</v>
      </c>
      <c r="I486" s="10" t="s">
        <v>28</v>
      </c>
      <c r="J486" s="1">
        <v>45576</v>
      </c>
      <c r="K486" s="1">
        <v>45607</v>
      </c>
      <c r="L486" s="25">
        <f ca="1">CLIENTES[[#This Row],[Fecha Vencimiento]]-$J$6</f>
        <v>12</v>
      </c>
      <c r="N486" s="1" t="str">
        <f t="shared" ca="1" si="14"/>
        <v>Al dia</v>
      </c>
      <c r="O486" s="19">
        <v>45576</v>
      </c>
      <c r="P486" s="2"/>
      <c r="Q486" s="2">
        <f t="shared" si="15"/>
        <v>-45576</v>
      </c>
    </row>
    <row r="487" spans="3:17" x14ac:dyDescent="0.25">
      <c r="C487" s="13" t="s">
        <v>1211</v>
      </c>
      <c r="D487" s="13" t="s">
        <v>1215</v>
      </c>
      <c r="E487" s="10" t="s">
        <v>2931</v>
      </c>
      <c r="F487" t="s">
        <v>232</v>
      </c>
      <c r="G487" t="s">
        <v>1216</v>
      </c>
      <c r="H487" s="14">
        <v>1</v>
      </c>
      <c r="I487" s="10" t="s">
        <v>183</v>
      </c>
      <c r="J487" s="1">
        <v>45567</v>
      </c>
      <c r="K487" s="1">
        <v>45598</v>
      </c>
      <c r="L487" s="25">
        <f ca="1">CLIENTES[[#This Row],[Fecha Vencimiento]]-$J$6</f>
        <v>3</v>
      </c>
      <c r="N487" s="1" t="str">
        <f t="shared" ca="1" si="14"/>
        <v>Por vencer</v>
      </c>
      <c r="O487" s="19">
        <v>45567</v>
      </c>
      <c r="P487" s="2"/>
      <c r="Q487" s="2">
        <f t="shared" si="15"/>
        <v>-45567</v>
      </c>
    </row>
    <row r="488" spans="3:17" x14ac:dyDescent="0.25">
      <c r="C488" s="13" t="s">
        <v>1211</v>
      </c>
      <c r="D488" s="13" t="s">
        <v>1217</v>
      </c>
      <c r="E488" s="10" t="s">
        <v>3106</v>
      </c>
      <c r="F488" t="s">
        <v>35</v>
      </c>
      <c r="G488" t="s">
        <v>1218</v>
      </c>
      <c r="H488" s="14">
        <v>2</v>
      </c>
      <c r="I488" s="10" t="s">
        <v>28</v>
      </c>
      <c r="J488" s="1">
        <v>45572</v>
      </c>
      <c r="K488" s="1">
        <v>45603</v>
      </c>
      <c r="L488" s="25">
        <f ca="1">CLIENTES[[#This Row],[Fecha Vencimiento]]-$J$6</f>
        <v>8</v>
      </c>
      <c r="N488" s="1" t="str">
        <f t="shared" ca="1" si="14"/>
        <v>Al dia</v>
      </c>
      <c r="O488" s="19"/>
      <c r="P488" s="2"/>
      <c r="Q488" s="2">
        <f t="shared" si="15"/>
        <v>0</v>
      </c>
    </row>
    <row r="489" spans="3:17" x14ac:dyDescent="0.25">
      <c r="C489" s="13" t="s">
        <v>1211</v>
      </c>
      <c r="D489" s="13" t="s">
        <v>1219</v>
      </c>
      <c r="F489" t="s">
        <v>35</v>
      </c>
      <c r="G489" t="s">
        <v>1220</v>
      </c>
      <c r="H489" s="14">
        <v>1</v>
      </c>
      <c r="I489" s="10" t="s">
        <v>28</v>
      </c>
      <c r="J489" s="1">
        <v>45583</v>
      </c>
      <c r="K489" s="1">
        <v>45614</v>
      </c>
      <c r="L489" s="25">
        <f ca="1">CLIENTES[[#This Row],[Fecha Vencimiento]]-$J$6</f>
        <v>19</v>
      </c>
      <c r="N489" s="1" t="str">
        <f t="shared" ca="1" si="14"/>
        <v>Al dia</v>
      </c>
      <c r="O489" s="19">
        <v>45583</v>
      </c>
      <c r="P489" s="2"/>
      <c r="Q489" s="2">
        <f t="shared" si="15"/>
        <v>-45583</v>
      </c>
    </row>
    <row r="490" spans="3:17" x14ac:dyDescent="0.25">
      <c r="C490" s="13" t="s">
        <v>1211</v>
      </c>
      <c r="D490" s="13" t="s">
        <v>51</v>
      </c>
      <c r="E490" s="10">
        <v>1154153243</v>
      </c>
      <c r="F490" t="s">
        <v>35</v>
      </c>
      <c r="G490" t="s">
        <v>1221</v>
      </c>
      <c r="H490" s="14">
        <v>1</v>
      </c>
      <c r="I490" s="10" t="s">
        <v>28</v>
      </c>
      <c r="J490" s="1">
        <v>45581</v>
      </c>
      <c r="K490" s="1">
        <v>45612</v>
      </c>
      <c r="L490" s="25">
        <f ca="1">CLIENTES[[#This Row],[Fecha Vencimiento]]-$J$6</f>
        <v>17</v>
      </c>
      <c r="N490" s="1" t="str">
        <f t="shared" ca="1" si="14"/>
        <v>Al dia</v>
      </c>
      <c r="O490" s="19">
        <v>45581</v>
      </c>
      <c r="P490" s="2"/>
      <c r="Q490" s="2">
        <f t="shared" si="15"/>
        <v>-45581</v>
      </c>
    </row>
    <row r="491" spans="3:17" x14ac:dyDescent="0.25">
      <c r="C491" s="13" t="s">
        <v>1211</v>
      </c>
      <c r="D491" s="13" t="s">
        <v>1222</v>
      </c>
      <c r="E491" s="10">
        <v>112757868</v>
      </c>
      <c r="F491" t="s">
        <v>35</v>
      </c>
      <c r="G491" t="s">
        <v>1223</v>
      </c>
      <c r="H491" s="14">
        <v>2</v>
      </c>
      <c r="I491" s="10" t="s">
        <v>28</v>
      </c>
      <c r="J491" s="1">
        <v>45586</v>
      </c>
      <c r="K491" s="1">
        <v>45617</v>
      </c>
      <c r="L491" s="25">
        <f ca="1">CLIENTES[[#This Row],[Fecha Vencimiento]]-$J$6</f>
        <v>22</v>
      </c>
      <c r="N491" s="1" t="str">
        <f t="shared" ca="1" si="14"/>
        <v>Al dia</v>
      </c>
      <c r="O491" s="19">
        <v>45556</v>
      </c>
      <c r="P491" s="2"/>
      <c r="Q491" s="2">
        <f t="shared" si="15"/>
        <v>-45556</v>
      </c>
    </row>
    <row r="492" spans="3:17" x14ac:dyDescent="0.25">
      <c r="C492" s="13" t="s">
        <v>1211</v>
      </c>
      <c r="D492" s="13" t="s">
        <v>141</v>
      </c>
      <c r="F492" t="s">
        <v>35</v>
      </c>
      <c r="G492" t="s">
        <v>1224</v>
      </c>
      <c r="H492" s="14">
        <v>2</v>
      </c>
      <c r="I492" s="10" t="s">
        <v>28</v>
      </c>
      <c r="J492" s="1">
        <v>45579</v>
      </c>
      <c r="K492" s="1">
        <v>45609</v>
      </c>
      <c r="L492" s="25">
        <f ca="1">CLIENTES[[#This Row],[Fecha Vencimiento]]-$J$6</f>
        <v>14</v>
      </c>
      <c r="N492" s="1" t="str">
        <f t="shared" ca="1" si="14"/>
        <v>Al dia</v>
      </c>
      <c r="O492" s="19">
        <v>45548</v>
      </c>
      <c r="P492" s="2"/>
      <c r="Q492" s="2">
        <f t="shared" si="15"/>
        <v>-45548</v>
      </c>
    </row>
    <row r="493" spans="3:17" x14ac:dyDescent="0.25">
      <c r="C493" s="13" t="s">
        <v>1211</v>
      </c>
      <c r="D493" s="13" t="s">
        <v>1225</v>
      </c>
      <c r="E493" s="10">
        <v>151178255</v>
      </c>
      <c r="F493" t="s">
        <v>35</v>
      </c>
      <c r="G493" t="s">
        <v>1226</v>
      </c>
      <c r="H493" s="14">
        <v>2</v>
      </c>
      <c r="I493" s="10" t="s">
        <v>28</v>
      </c>
      <c r="J493" s="1">
        <v>45569</v>
      </c>
      <c r="K493" s="1">
        <v>45599</v>
      </c>
      <c r="L493" s="25">
        <f ca="1">CLIENTES[[#This Row],[Fecha Vencimiento]]-$J$6</f>
        <v>4</v>
      </c>
      <c r="N493" s="1" t="str">
        <f t="shared" ca="1" si="14"/>
        <v>Al dia</v>
      </c>
      <c r="O493" s="19">
        <v>45538</v>
      </c>
      <c r="P493" s="2"/>
      <c r="Q493" s="2">
        <f t="shared" si="15"/>
        <v>-45538</v>
      </c>
    </row>
    <row r="494" spans="3:17" x14ac:dyDescent="0.25">
      <c r="C494" s="13" t="s">
        <v>1211</v>
      </c>
      <c r="D494" s="13" t="s">
        <v>1227</v>
      </c>
      <c r="E494" s="10">
        <v>1136416095</v>
      </c>
      <c r="F494" t="s">
        <v>35</v>
      </c>
      <c r="G494" t="s">
        <v>1228</v>
      </c>
      <c r="H494" s="14">
        <v>4</v>
      </c>
      <c r="I494" s="10" t="s">
        <v>28</v>
      </c>
      <c r="J494" s="1">
        <v>45587</v>
      </c>
      <c r="K494" s="1">
        <v>45618</v>
      </c>
      <c r="L494" s="25">
        <f ca="1">CLIENTES[[#This Row],[Fecha Vencimiento]]-$J$6</f>
        <v>23</v>
      </c>
      <c r="N494" s="1" t="str">
        <f t="shared" ca="1" si="14"/>
        <v>Al dia</v>
      </c>
      <c r="O494" s="19"/>
      <c r="P494" s="2"/>
      <c r="Q494" s="2">
        <f t="shared" si="15"/>
        <v>0</v>
      </c>
    </row>
    <row r="495" spans="3:17" x14ac:dyDescent="0.25">
      <c r="C495" s="13" t="s">
        <v>1211</v>
      </c>
      <c r="D495" s="13" t="s">
        <v>1229</v>
      </c>
      <c r="F495" t="s">
        <v>35</v>
      </c>
      <c r="G495" t="s">
        <v>1230</v>
      </c>
      <c r="I495" s="10" t="s">
        <v>28</v>
      </c>
      <c r="J495" s="1">
        <v>45493</v>
      </c>
      <c r="K495" s="1">
        <v>45524</v>
      </c>
      <c r="L495" s="25">
        <f ca="1">CLIENTES[[#This Row],[Fecha Vencimiento]]-$J$6</f>
        <v>-71</v>
      </c>
      <c r="N495" s="1" t="str">
        <f t="shared" ca="1" si="14"/>
        <v>Vencido</v>
      </c>
      <c r="O495" s="19"/>
      <c r="P495" s="2"/>
      <c r="Q495" s="2">
        <f t="shared" si="15"/>
        <v>0</v>
      </c>
    </row>
    <row r="496" spans="3:17" x14ac:dyDescent="0.25">
      <c r="C496" s="13" t="s">
        <v>1211</v>
      </c>
      <c r="D496" s="13" t="s">
        <v>1231</v>
      </c>
      <c r="E496" s="10">
        <v>1150541180</v>
      </c>
      <c r="F496" t="s">
        <v>35</v>
      </c>
      <c r="G496" t="s">
        <v>1232</v>
      </c>
      <c r="H496" s="14">
        <v>2</v>
      </c>
      <c r="I496" s="10" t="s">
        <v>28</v>
      </c>
      <c r="J496" s="1">
        <v>45558</v>
      </c>
      <c r="K496" s="1">
        <v>45588</v>
      </c>
      <c r="L496" s="25">
        <f ca="1">CLIENTES[[#This Row],[Fecha Vencimiento]]-$J$6</f>
        <v>-7</v>
      </c>
      <c r="N496" s="1" t="str">
        <f t="shared" ca="1" si="14"/>
        <v>Vencido</v>
      </c>
      <c r="O496" s="19">
        <v>45527</v>
      </c>
      <c r="P496" s="2"/>
      <c r="Q496" s="2">
        <f t="shared" si="15"/>
        <v>-45527</v>
      </c>
    </row>
    <row r="497" spans="3:17" x14ac:dyDescent="0.25">
      <c r="C497" s="13" t="s">
        <v>1211</v>
      </c>
      <c r="D497" s="13" t="s">
        <v>1233</v>
      </c>
      <c r="E497" s="10">
        <v>1124600475</v>
      </c>
      <c r="F497" t="s">
        <v>35</v>
      </c>
      <c r="G497" t="s">
        <v>1234</v>
      </c>
      <c r="H497" s="14">
        <v>3</v>
      </c>
      <c r="I497" s="10" t="s">
        <v>28</v>
      </c>
      <c r="J497" s="1">
        <v>45570</v>
      </c>
      <c r="K497" s="1">
        <v>45601</v>
      </c>
      <c r="L497" s="25">
        <f ca="1">CLIENTES[[#This Row],[Fecha Vencimiento]]-$J$6</f>
        <v>6</v>
      </c>
      <c r="N497" s="1" t="str">
        <f t="shared" ca="1" si="14"/>
        <v>Al dia</v>
      </c>
      <c r="O497" s="19"/>
      <c r="P497" s="2"/>
      <c r="Q497" s="2">
        <f t="shared" si="15"/>
        <v>0</v>
      </c>
    </row>
    <row r="498" spans="3:17" x14ac:dyDescent="0.25">
      <c r="C498" s="13" t="s">
        <v>1211</v>
      </c>
      <c r="D498" s="13" t="s">
        <v>944</v>
      </c>
      <c r="E498" s="10" t="s">
        <v>3110</v>
      </c>
      <c r="F498" t="s">
        <v>35</v>
      </c>
      <c r="G498" t="s">
        <v>1235</v>
      </c>
      <c r="I498" s="10" t="s">
        <v>28</v>
      </c>
      <c r="J498" s="1">
        <v>45516</v>
      </c>
      <c r="K498" s="1">
        <v>45547</v>
      </c>
      <c r="L498" s="25">
        <f ca="1">CLIENTES[[#This Row],[Fecha Vencimiento]]-$J$6</f>
        <v>-48</v>
      </c>
      <c r="N498" s="1" t="str">
        <f t="shared" ca="1" si="14"/>
        <v>Vencido</v>
      </c>
      <c r="O498" s="19"/>
      <c r="P498" s="2"/>
      <c r="Q498" s="2">
        <f t="shared" si="15"/>
        <v>0</v>
      </c>
    </row>
    <row r="499" spans="3:17" x14ac:dyDescent="0.25">
      <c r="C499" s="13" t="s">
        <v>1211</v>
      </c>
      <c r="D499" s="13" t="s">
        <v>1236</v>
      </c>
      <c r="E499" s="10">
        <v>1163247019</v>
      </c>
      <c r="F499" t="s">
        <v>35</v>
      </c>
      <c r="G499" t="s">
        <v>1237</v>
      </c>
      <c r="H499" s="14">
        <v>3</v>
      </c>
      <c r="I499" s="10" t="s">
        <v>28</v>
      </c>
      <c r="J499" s="1">
        <v>45588</v>
      </c>
      <c r="K499" s="1">
        <v>45619</v>
      </c>
      <c r="L499" s="25">
        <f ca="1">CLIENTES[[#This Row],[Fecha Vencimiento]]-$J$6</f>
        <v>24</v>
      </c>
      <c r="N499" s="1" t="str">
        <f t="shared" ref="N499:N562" ca="1" si="16">IF(L499&lt;0,"Vencido",IF(L499=0,"Vence hoy",IF(L499&lt;4,"Por vencer","Al dia")))</f>
        <v>Al dia</v>
      </c>
      <c r="O499" s="19">
        <v>45527</v>
      </c>
      <c r="P499" s="2"/>
      <c r="Q499" s="2">
        <f t="shared" si="15"/>
        <v>-45527</v>
      </c>
    </row>
    <row r="500" spans="3:17" x14ac:dyDescent="0.25">
      <c r="C500" s="13" t="s">
        <v>1211</v>
      </c>
      <c r="D500" s="13" t="s">
        <v>1238</v>
      </c>
      <c r="E500" s="10" t="s">
        <v>2931</v>
      </c>
      <c r="F500" t="s">
        <v>35</v>
      </c>
      <c r="G500" s="1" t="s">
        <v>1239</v>
      </c>
      <c r="H500" s="14">
        <v>5</v>
      </c>
      <c r="I500" s="10" t="s">
        <v>28</v>
      </c>
      <c r="J500" s="1">
        <v>45587</v>
      </c>
      <c r="K500" s="1">
        <v>45618</v>
      </c>
      <c r="L500" s="25">
        <f ca="1">CLIENTES[[#This Row],[Fecha Vencimiento]]-$J$6</f>
        <v>23</v>
      </c>
      <c r="N500" s="1" t="str">
        <f t="shared" ca="1" si="16"/>
        <v>Al dia</v>
      </c>
      <c r="O500" s="19"/>
      <c r="P500" s="2"/>
      <c r="Q500" s="2">
        <f t="shared" si="15"/>
        <v>0</v>
      </c>
    </row>
    <row r="501" spans="3:17" x14ac:dyDescent="0.25">
      <c r="C501" s="13" t="s">
        <v>1211</v>
      </c>
      <c r="D501" s="13" t="s">
        <v>1240</v>
      </c>
      <c r="E501" s="10" t="s">
        <v>3106</v>
      </c>
      <c r="F501" t="s">
        <v>35</v>
      </c>
      <c r="G501" t="s">
        <v>1241</v>
      </c>
      <c r="H501" s="14">
        <v>5</v>
      </c>
      <c r="I501" s="10" t="s">
        <v>28</v>
      </c>
      <c r="J501" s="1">
        <v>45593</v>
      </c>
      <c r="K501" s="1">
        <v>45624</v>
      </c>
      <c r="L501" s="25">
        <f ca="1">CLIENTES[[#This Row],[Fecha Vencimiento]]-$J$6</f>
        <v>29</v>
      </c>
      <c r="N501" s="1" t="str">
        <f t="shared" ca="1" si="16"/>
        <v>Al dia</v>
      </c>
      <c r="O501" s="19"/>
      <c r="P501" s="2"/>
      <c r="Q501" s="2">
        <f t="shared" si="15"/>
        <v>0</v>
      </c>
    </row>
    <row r="502" spans="3:17" x14ac:dyDescent="0.25">
      <c r="C502" s="13" t="s">
        <v>1211</v>
      </c>
      <c r="D502" s="13" t="s">
        <v>1242</v>
      </c>
      <c r="F502" t="s">
        <v>35</v>
      </c>
      <c r="G502" t="s">
        <v>1243</v>
      </c>
      <c r="H502" s="14">
        <v>6</v>
      </c>
      <c r="I502" s="10" t="s">
        <v>28</v>
      </c>
      <c r="J502" s="1">
        <v>45579</v>
      </c>
      <c r="K502" s="1">
        <v>45609</v>
      </c>
      <c r="L502" s="25">
        <f ca="1">CLIENTES[[#This Row],[Fecha Vencimiento]]-$J$6</f>
        <v>14</v>
      </c>
      <c r="N502" s="1" t="str">
        <f t="shared" ca="1" si="16"/>
        <v>Al dia</v>
      </c>
      <c r="O502" s="19"/>
      <c r="P502" s="2"/>
      <c r="Q502" s="2">
        <f t="shared" si="15"/>
        <v>0</v>
      </c>
    </row>
    <row r="503" spans="3:17" x14ac:dyDescent="0.25">
      <c r="C503" s="13" t="s">
        <v>1211</v>
      </c>
      <c r="D503" s="13" t="s">
        <v>1244</v>
      </c>
      <c r="E503" s="10">
        <v>1161470325</v>
      </c>
      <c r="F503" t="s">
        <v>35</v>
      </c>
      <c r="G503" t="s">
        <v>1245</v>
      </c>
      <c r="H503" s="14">
        <v>6</v>
      </c>
      <c r="I503" s="10" t="s">
        <v>28</v>
      </c>
      <c r="J503" s="1">
        <v>45591</v>
      </c>
      <c r="K503" s="1">
        <v>45620</v>
      </c>
      <c r="L503" s="25">
        <f ca="1">CLIENTES[[#This Row],[Fecha Vencimiento]]-$J$6</f>
        <v>25</v>
      </c>
      <c r="N503" s="1" t="str">
        <f t="shared" ca="1" si="16"/>
        <v>Al dia</v>
      </c>
      <c r="O503" s="19"/>
      <c r="P503" s="2"/>
      <c r="Q503" s="2">
        <f t="shared" si="15"/>
        <v>0</v>
      </c>
    </row>
    <row r="504" spans="3:17" x14ac:dyDescent="0.25">
      <c r="C504" s="13" t="s">
        <v>1211</v>
      </c>
      <c r="D504" s="13" t="s">
        <v>214</v>
      </c>
      <c r="E504" s="10">
        <v>1149607566</v>
      </c>
      <c r="F504" t="s">
        <v>35</v>
      </c>
      <c r="G504" t="s">
        <v>1246</v>
      </c>
      <c r="H504" s="14">
        <v>1</v>
      </c>
      <c r="I504" s="10" t="s">
        <v>28</v>
      </c>
      <c r="J504" s="1">
        <v>45570</v>
      </c>
      <c r="K504" s="1">
        <v>45600</v>
      </c>
      <c r="L504" s="25">
        <f ca="1">CLIENTES[[#This Row],[Fecha Vencimiento]]-$J$6</f>
        <v>5</v>
      </c>
      <c r="N504" s="1" t="str">
        <f t="shared" ca="1" si="16"/>
        <v>Al dia</v>
      </c>
      <c r="O504" s="19"/>
      <c r="P504" s="2"/>
      <c r="Q504" s="2">
        <f t="shared" si="15"/>
        <v>0</v>
      </c>
    </row>
    <row r="505" spans="3:17" x14ac:dyDescent="0.25">
      <c r="C505" s="13" t="s">
        <v>1211</v>
      </c>
      <c r="D505" s="13" t="s">
        <v>1247</v>
      </c>
      <c r="E505" s="10">
        <v>1170145522</v>
      </c>
      <c r="F505" t="s">
        <v>35</v>
      </c>
      <c r="G505" t="s">
        <v>1248</v>
      </c>
      <c r="H505" s="14">
        <v>6</v>
      </c>
      <c r="I505" s="10" t="s">
        <v>28</v>
      </c>
      <c r="J505" s="1">
        <v>45542</v>
      </c>
      <c r="K505" s="1">
        <v>45554</v>
      </c>
      <c r="L505" s="25">
        <f ca="1">CLIENTES[[#This Row],[Fecha Vencimiento]]-$J$6</f>
        <v>-41</v>
      </c>
      <c r="N505" s="1" t="str">
        <f t="shared" ca="1" si="16"/>
        <v>Vencido</v>
      </c>
      <c r="O505" s="19"/>
      <c r="P505" s="2"/>
      <c r="Q505" s="2">
        <f t="shared" si="15"/>
        <v>0</v>
      </c>
    </row>
    <row r="506" spans="3:17" x14ac:dyDescent="0.25">
      <c r="C506" s="13" t="s">
        <v>1211</v>
      </c>
      <c r="D506" s="13" t="s">
        <v>1249</v>
      </c>
      <c r="E506" s="10">
        <v>1160042920</v>
      </c>
      <c r="F506" t="s">
        <v>35</v>
      </c>
      <c r="G506" t="s">
        <v>1250</v>
      </c>
      <c r="H506" s="14">
        <v>3</v>
      </c>
      <c r="I506" s="10" t="s">
        <v>28</v>
      </c>
      <c r="J506" s="1">
        <v>45593</v>
      </c>
      <c r="K506" s="1">
        <v>45624</v>
      </c>
      <c r="L506" s="25">
        <f ca="1">CLIENTES[[#This Row],[Fecha Vencimiento]]-$J$6</f>
        <v>29</v>
      </c>
      <c r="N506" s="1" t="str">
        <f t="shared" ca="1" si="16"/>
        <v>Al dia</v>
      </c>
      <c r="O506" s="19"/>
      <c r="P506" s="2"/>
      <c r="Q506" s="2">
        <f t="shared" si="15"/>
        <v>0</v>
      </c>
    </row>
    <row r="507" spans="3:17" x14ac:dyDescent="0.25">
      <c r="C507" s="13" t="s">
        <v>1211</v>
      </c>
      <c r="D507" s="13" t="s">
        <v>1251</v>
      </c>
      <c r="F507" t="s">
        <v>35</v>
      </c>
      <c r="G507" t="s">
        <v>1252</v>
      </c>
      <c r="I507" s="10" t="s">
        <v>28</v>
      </c>
      <c r="J507" s="1">
        <v>45453</v>
      </c>
      <c r="K507" s="1">
        <v>45481</v>
      </c>
      <c r="L507" s="25">
        <f ca="1">CLIENTES[[#This Row],[Fecha Vencimiento]]-$J$6</f>
        <v>-114</v>
      </c>
      <c r="N507" s="1" t="str">
        <f t="shared" ca="1" si="16"/>
        <v>Vencido</v>
      </c>
      <c r="O507" s="19"/>
      <c r="P507" s="2"/>
      <c r="Q507" s="2">
        <f t="shared" si="15"/>
        <v>0</v>
      </c>
    </row>
    <row r="508" spans="3:17" x14ac:dyDescent="0.25">
      <c r="C508" s="13" t="s">
        <v>1211</v>
      </c>
      <c r="D508" s="13" t="s">
        <v>1253</v>
      </c>
      <c r="E508" s="10" t="s">
        <v>2931</v>
      </c>
      <c r="F508" t="s">
        <v>35</v>
      </c>
      <c r="G508" t="s">
        <v>1254</v>
      </c>
      <c r="H508" s="14">
        <v>4</v>
      </c>
      <c r="I508" s="10" t="s">
        <v>28</v>
      </c>
      <c r="J508" s="1">
        <v>45589</v>
      </c>
      <c r="K508" s="1">
        <v>45618</v>
      </c>
      <c r="L508" s="25">
        <f ca="1">CLIENTES[[#This Row],[Fecha Vencimiento]]-$J$6</f>
        <v>23</v>
      </c>
      <c r="N508" s="1" t="str">
        <f t="shared" ca="1" si="16"/>
        <v>Al dia</v>
      </c>
      <c r="O508" s="19"/>
      <c r="P508" s="2"/>
      <c r="Q508" s="2">
        <f t="shared" si="15"/>
        <v>0</v>
      </c>
    </row>
    <row r="509" spans="3:17" x14ac:dyDescent="0.25">
      <c r="C509" s="13" t="s">
        <v>1255</v>
      </c>
      <c r="D509" s="13" t="s">
        <v>1256</v>
      </c>
      <c r="E509" s="10">
        <v>1124523863</v>
      </c>
      <c r="F509" t="s">
        <v>35</v>
      </c>
      <c r="G509" t="s">
        <v>1257</v>
      </c>
      <c r="H509" s="14">
        <v>5</v>
      </c>
      <c r="I509" s="10" t="s">
        <v>28</v>
      </c>
      <c r="J509" s="1">
        <v>45580</v>
      </c>
      <c r="K509" s="1">
        <v>45593</v>
      </c>
      <c r="L509" s="25">
        <f ca="1">CLIENTES[[#This Row],[Fecha Vencimiento]]-$J$6</f>
        <v>-2</v>
      </c>
      <c r="N509" s="1" t="str">
        <f t="shared" ca="1" si="16"/>
        <v>Vencido</v>
      </c>
      <c r="O509" s="19"/>
      <c r="P509" s="2"/>
      <c r="Q509" s="2">
        <f t="shared" si="15"/>
        <v>0</v>
      </c>
    </row>
    <row r="510" spans="3:17" x14ac:dyDescent="0.25">
      <c r="C510" s="13" t="s">
        <v>1258</v>
      </c>
      <c r="D510" s="13" t="s">
        <v>1259</v>
      </c>
      <c r="E510" s="10" t="s">
        <v>3108</v>
      </c>
      <c r="F510" t="s">
        <v>35</v>
      </c>
      <c r="G510" t="s">
        <v>1260</v>
      </c>
      <c r="H510" s="14">
        <v>2</v>
      </c>
      <c r="I510" s="10" t="s">
        <v>28</v>
      </c>
      <c r="J510" s="1">
        <v>45545</v>
      </c>
      <c r="K510" s="1">
        <v>45575</v>
      </c>
      <c r="L510" s="25">
        <f ca="1">CLIENTES[[#This Row],[Fecha Vencimiento]]-$J$6</f>
        <v>-20</v>
      </c>
      <c r="N510" s="1" t="str">
        <f t="shared" ca="1" si="16"/>
        <v>Vencido</v>
      </c>
      <c r="O510" s="19"/>
      <c r="P510" s="2"/>
      <c r="Q510" s="2">
        <f t="shared" si="15"/>
        <v>0</v>
      </c>
    </row>
    <row r="511" spans="3:17" x14ac:dyDescent="0.25">
      <c r="C511" s="13" t="s">
        <v>1258</v>
      </c>
      <c r="D511" s="13" t="s">
        <v>1259</v>
      </c>
      <c r="E511" s="10">
        <v>1169828194</v>
      </c>
      <c r="F511" t="s">
        <v>35</v>
      </c>
      <c r="G511" t="s">
        <v>1261</v>
      </c>
      <c r="H511" s="14">
        <v>4</v>
      </c>
      <c r="I511" s="10" t="s">
        <v>28</v>
      </c>
      <c r="J511" s="1">
        <v>45574</v>
      </c>
      <c r="K511" s="1">
        <v>45606</v>
      </c>
      <c r="L511" s="25">
        <f ca="1">CLIENTES[[#This Row],[Fecha Vencimiento]]-$J$6</f>
        <v>11</v>
      </c>
      <c r="N511" s="1" t="str">
        <f t="shared" ca="1" si="16"/>
        <v>Al dia</v>
      </c>
      <c r="O511" s="19"/>
      <c r="P511" s="2"/>
      <c r="Q511" s="2">
        <f t="shared" si="15"/>
        <v>0</v>
      </c>
    </row>
    <row r="512" spans="3:17" x14ac:dyDescent="0.25">
      <c r="C512" s="13" t="s">
        <v>1262</v>
      </c>
      <c r="D512" s="13" t="s">
        <v>1263</v>
      </c>
      <c r="E512" s="10">
        <v>1121566276</v>
      </c>
      <c r="F512" t="s">
        <v>35</v>
      </c>
      <c r="G512" t="s">
        <v>1264</v>
      </c>
      <c r="H512" s="14">
        <v>3</v>
      </c>
      <c r="I512" s="10" t="s">
        <v>28</v>
      </c>
      <c r="J512" s="1">
        <v>45584</v>
      </c>
      <c r="K512" s="1">
        <v>45615</v>
      </c>
      <c r="L512" s="25">
        <f ca="1">CLIENTES[[#This Row],[Fecha Vencimiento]]-$J$6</f>
        <v>20</v>
      </c>
      <c r="N512" s="1" t="str">
        <f t="shared" ca="1" si="16"/>
        <v>Al dia</v>
      </c>
      <c r="O512" s="19"/>
      <c r="P512" s="2"/>
      <c r="Q512" s="2">
        <f t="shared" si="15"/>
        <v>0</v>
      </c>
    </row>
    <row r="513" spans="2:17" x14ac:dyDescent="0.25">
      <c r="C513" s="13" t="s">
        <v>1262</v>
      </c>
      <c r="D513" s="13" t="s">
        <v>1265</v>
      </c>
      <c r="F513" t="s">
        <v>35</v>
      </c>
      <c r="G513" t="s">
        <v>1266</v>
      </c>
      <c r="I513" s="10" t="s">
        <v>28</v>
      </c>
      <c r="J513" s="1">
        <v>45500</v>
      </c>
      <c r="K513" s="1">
        <v>45531</v>
      </c>
      <c r="L513" s="25">
        <f ca="1">CLIENTES[[#This Row],[Fecha Vencimiento]]-$J$6</f>
        <v>-64</v>
      </c>
      <c r="N513" s="1" t="str">
        <f t="shared" ca="1" si="16"/>
        <v>Vencido</v>
      </c>
      <c r="O513" s="19"/>
      <c r="P513" s="2"/>
      <c r="Q513" s="2">
        <f t="shared" si="15"/>
        <v>0</v>
      </c>
    </row>
    <row r="514" spans="2:17" x14ac:dyDescent="0.25">
      <c r="C514" s="13" t="s">
        <v>1262</v>
      </c>
      <c r="D514" s="13" t="s">
        <v>1267</v>
      </c>
      <c r="E514" s="10">
        <v>1167305081</v>
      </c>
      <c r="F514" t="s">
        <v>26</v>
      </c>
      <c r="G514" t="s">
        <v>1268</v>
      </c>
      <c r="H514" s="14">
        <v>1</v>
      </c>
      <c r="I514" s="10" t="s">
        <v>28</v>
      </c>
      <c r="J514" s="1">
        <v>45537</v>
      </c>
      <c r="K514" s="1">
        <v>45567</v>
      </c>
      <c r="L514" s="25">
        <f ca="1">CLIENTES[[#This Row],[Fecha Vencimiento]]-$J$6</f>
        <v>-28</v>
      </c>
      <c r="N514" s="1" t="str">
        <f t="shared" ca="1" si="16"/>
        <v>Vencido</v>
      </c>
      <c r="O514" s="19">
        <v>45567</v>
      </c>
      <c r="P514" s="2"/>
      <c r="Q514" s="2">
        <f t="shared" si="15"/>
        <v>-45567</v>
      </c>
    </row>
    <row r="515" spans="2:17" x14ac:dyDescent="0.25">
      <c r="C515" s="13" t="s">
        <v>1262</v>
      </c>
      <c r="D515" s="13" t="s">
        <v>1269</v>
      </c>
      <c r="E515" s="10">
        <v>1131663530</v>
      </c>
      <c r="F515" t="s">
        <v>232</v>
      </c>
      <c r="G515" t="s">
        <v>1270</v>
      </c>
      <c r="H515" s="14">
        <v>4</v>
      </c>
      <c r="I515" s="10" t="s">
        <v>183</v>
      </c>
      <c r="J515" s="1">
        <v>45588</v>
      </c>
      <c r="K515" s="1">
        <v>45620</v>
      </c>
      <c r="L515" s="25">
        <v>4</v>
      </c>
      <c r="N515" s="1" t="str">
        <f t="shared" si="16"/>
        <v>Al dia</v>
      </c>
      <c r="O515" s="19"/>
      <c r="P515" s="2">
        <v>42000</v>
      </c>
      <c r="Q515" s="2">
        <f t="shared" si="15"/>
        <v>42000</v>
      </c>
    </row>
    <row r="516" spans="2:17" x14ac:dyDescent="0.25">
      <c r="C516" s="13" t="s">
        <v>1262</v>
      </c>
      <c r="D516" s="13" t="s">
        <v>1271</v>
      </c>
      <c r="E516" s="10">
        <v>1126881641</v>
      </c>
      <c r="F516" t="s">
        <v>26</v>
      </c>
      <c r="G516" t="s">
        <v>1272</v>
      </c>
      <c r="H516" s="14">
        <v>2</v>
      </c>
      <c r="I516" s="10" t="s">
        <v>28</v>
      </c>
      <c r="J516" s="1">
        <v>45582</v>
      </c>
      <c r="K516" s="1">
        <v>45613</v>
      </c>
      <c r="L516" s="25">
        <f ca="1">CLIENTES[[#This Row],[Fecha Vencimiento]]-$J$6</f>
        <v>18</v>
      </c>
      <c r="N516" s="1" t="str">
        <f t="shared" ca="1" si="16"/>
        <v>Al dia</v>
      </c>
      <c r="O516" s="19">
        <v>45551</v>
      </c>
      <c r="P516" s="2"/>
      <c r="Q516" s="2">
        <f t="shared" si="15"/>
        <v>-45551</v>
      </c>
    </row>
    <row r="517" spans="2:17" x14ac:dyDescent="0.25">
      <c r="C517" s="13" t="s">
        <v>1262</v>
      </c>
      <c r="D517" s="13" t="s">
        <v>1273</v>
      </c>
      <c r="E517" s="10">
        <v>1168593692</v>
      </c>
      <c r="F517" t="s">
        <v>259</v>
      </c>
      <c r="G517" t="s">
        <v>1274</v>
      </c>
      <c r="H517" s="14">
        <v>4</v>
      </c>
      <c r="I517" s="10" t="s">
        <v>183</v>
      </c>
      <c r="J517" s="1">
        <v>45568</v>
      </c>
      <c r="K517" s="1">
        <v>45598</v>
      </c>
      <c r="L517" s="25">
        <f ca="1">CLIENTES[[#This Row],[Fecha Vencimiento]]-$J$6</f>
        <v>3</v>
      </c>
      <c r="N517" s="1" t="str">
        <f t="shared" ca="1" si="16"/>
        <v>Por vencer</v>
      </c>
      <c r="O517" s="19"/>
      <c r="P517" s="2"/>
      <c r="Q517" s="2">
        <f t="shared" si="15"/>
        <v>0</v>
      </c>
    </row>
    <row r="518" spans="2:17" x14ac:dyDescent="0.25">
      <c r="C518" s="13" t="s">
        <v>1262</v>
      </c>
      <c r="D518" s="13" t="s">
        <v>1275</v>
      </c>
      <c r="E518" s="10" t="s">
        <v>1028</v>
      </c>
      <c r="F518" t="s">
        <v>159</v>
      </c>
      <c r="G518" t="s">
        <v>1276</v>
      </c>
      <c r="H518" s="14">
        <v>3</v>
      </c>
      <c r="I518" s="10" t="s">
        <v>183</v>
      </c>
      <c r="J518" s="1">
        <v>45554</v>
      </c>
      <c r="K518" s="1">
        <v>45576</v>
      </c>
      <c r="L518" s="25">
        <f ca="1">CLIENTES[[#This Row],[Fecha Vencimiento]]-$J$6</f>
        <v>-19</v>
      </c>
      <c r="N518" s="1" t="str">
        <f t="shared" ca="1" si="16"/>
        <v>Vencido</v>
      </c>
      <c r="O518" s="19"/>
      <c r="P518" s="2"/>
      <c r="Q518" s="2">
        <f t="shared" si="15"/>
        <v>0</v>
      </c>
    </row>
    <row r="519" spans="2:17" x14ac:dyDescent="0.25">
      <c r="C519" s="13" t="s">
        <v>1262</v>
      </c>
      <c r="D519" s="13" t="s">
        <v>1277</v>
      </c>
      <c r="E519" s="10">
        <v>1138941036</v>
      </c>
      <c r="F519" t="s">
        <v>159</v>
      </c>
      <c r="G519" t="s">
        <v>1278</v>
      </c>
      <c r="H519" s="14">
        <v>4</v>
      </c>
      <c r="I519" s="10" t="s">
        <v>183</v>
      </c>
      <c r="J519" s="1">
        <v>45569</v>
      </c>
      <c r="K519" s="1">
        <v>45600</v>
      </c>
      <c r="L519" s="25">
        <f ca="1">CLIENTES[[#This Row],[Fecha Vencimiento]]-$J$6</f>
        <v>5</v>
      </c>
      <c r="N519" s="1" t="str">
        <f t="shared" ca="1" si="16"/>
        <v>Al dia</v>
      </c>
      <c r="O519" s="19"/>
      <c r="P519" s="2">
        <v>34000</v>
      </c>
      <c r="Q519" s="2">
        <f t="shared" si="15"/>
        <v>34000</v>
      </c>
    </row>
    <row r="520" spans="2:17" x14ac:dyDescent="0.25">
      <c r="C520" s="13" t="s">
        <v>1262</v>
      </c>
      <c r="D520" s="13" t="s">
        <v>1279</v>
      </c>
      <c r="F520" t="s">
        <v>159</v>
      </c>
      <c r="G520" t="s">
        <v>1280</v>
      </c>
      <c r="H520" s="14">
        <v>6</v>
      </c>
      <c r="I520" s="10" t="s">
        <v>75</v>
      </c>
      <c r="J520" s="1">
        <v>45569</v>
      </c>
      <c r="K520" s="1">
        <v>45606</v>
      </c>
      <c r="L520" s="25">
        <f ca="1">CLIENTES[[#This Row],[Fecha Vencimiento]]-$J$6</f>
        <v>11</v>
      </c>
      <c r="N520" s="1" t="str">
        <f t="shared" ca="1" si="16"/>
        <v>Al dia</v>
      </c>
      <c r="O520" s="19"/>
      <c r="P520" s="2"/>
      <c r="Q520" s="2">
        <f t="shared" ref="Q520:Q583" si="17">P520-O520</f>
        <v>0</v>
      </c>
    </row>
    <row r="521" spans="2:17" x14ac:dyDescent="0.25">
      <c r="C521" s="13" t="s">
        <v>1262</v>
      </c>
      <c r="D521" s="13" t="s">
        <v>1281</v>
      </c>
      <c r="E521" s="10">
        <v>1125852960</v>
      </c>
      <c r="F521" t="s">
        <v>35</v>
      </c>
      <c r="G521" t="s">
        <v>1282</v>
      </c>
      <c r="H521" s="14">
        <v>1</v>
      </c>
      <c r="I521" s="10" t="s">
        <v>28</v>
      </c>
      <c r="J521" s="1">
        <v>45534</v>
      </c>
      <c r="K521" s="1">
        <v>45564</v>
      </c>
      <c r="L521" s="25">
        <f ca="1">CLIENTES[[#This Row],[Fecha Vencimiento]]-$J$6</f>
        <v>-31</v>
      </c>
      <c r="N521" s="1" t="str">
        <f t="shared" ca="1" si="16"/>
        <v>Vencido</v>
      </c>
      <c r="O521" s="19">
        <v>45534</v>
      </c>
      <c r="P521" s="2"/>
      <c r="Q521" s="2">
        <f t="shared" si="17"/>
        <v>-45534</v>
      </c>
    </row>
    <row r="522" spans="2:17" x14ac:dyDescent="0.25">
      <c r="C522" s="13" t="s">
        <v>1262</v>
      </c>
      <c r="D522" s="13" t="s">
        <v>1283</v>
      </c>
      <c r="E522" s="10">
        <v>1157357020</v>
      </c>
      <c r="F522" t="s">
        <v>35</v>
      </c>
      <c r="G522" t="s">
        <v>1284</v>
      </c>
      <c r="H522" s="14">
        <v>3</v>
      </c>
      <c r="I522" s="10" t="s">
        <v>28</v>
      </c>
      <c r="J522" s="1">
        <v>45581</v>
      </c>
      <c r="K522" s="1">
        <v>45612</v>
      </c>
      <c r="L522" s="25">
        <f ca="1">CLIENTES[[#This Row],[Fecha Vencimiento]]-$J$6</f>
        <v>17</v>
      </c>
      <c r="N522" s="1" t="str">
        <f t="shared" ca="1" si="16"/>
        <v>Al dia</v>
      </c>
      <c r="O522" s="19"/>
      <c r="P522" s="2"/>
      <c r="Q522" s="2">
        <f t="shared" si="17"/>
        <v>0</v>
      </c>
    </row>
    <row r="523" spans="2:17" x14ac:dyDescent="0.25">
      <c r="C523" s="13" t="s">
        <v>1262</v>
      </c>
      <c r="D523" s="13" t="s">
        <v>1285</v>
      </c>
      <c r="E523" s="10" t="s">
        <v>2931</v>
      </c>
      <c r="F523" t="s">
        <v>35</v>
      </c>
      <c r="G523" t="s">
        <v>1286</v>
      </c>
      <c r="I523" s="10" t="s">
        <v>28</v>
      </c>
      <c r="J523" s="1">
        <v>45520</v>
      </c>
      <c r="K523" s="1">
        <v>45561</v>
      </c>
      <c r="L523" s="25">
        <f ca="1">CLIENTES[[#This Row],[Fecha Vencimiento]]-$J$6</f>
        <v>-34</v>
      </c>
      <c r="N523" s="1" t="str">
        <f t="shared" ca="1" si="16"/>
        <v>Vencido</v>
      </c>
      <c r="O523" s="19"/>
      <c r="P523" s="2"/>
      <c r="Q523" s="2">
        <f t="shared" si="17"/>
        <v>0</v>
      </c>
    </row>
    <row r="524" spans="2:17" x14ac:dyDescent="0.25">
      <c r="C524" s="13" t="s">
        <v>1262</v>
      </c>
      <c r="D524" s="13" t="s">
        <v>1285</v>
      </c>
      <c r="F524" t="s">
        <v>35</v>
      </c>
      <c r="G524" t="s">
        <v>1287</v>
      </c>
      <c r="I524" s="10" t="s">
        <v>28</v>
      </c>
      <c r="J524" s="1">
        <v>45520</v>
      </c>
      <c r="K524" s="1">
        <v>45559</v>
      </c>
      <c r="L524" s="25">
        <f ca="1">CLIENTES[[#This Row],[Fecha Vencimiento]]-$J$6</f>
        <v>-36</v>
      </c>
      <c r="N524" s="1" t="str">
        <f t="shared" ca="1" si="16"/>
        <v>Vencido</v>
      </c>
      <c r="O524" s="19"/>
      <c r="P524" s="2"/>
      <c r="Q524" s="2">
        <f t="shared" si="17"/>
        <v>0</v>
      </c>
    </row>
    <row r="525" spans="2:17" x14ac:dyDescent="0.25">
      <c r="C525" s="13" t="s">
        <v>1262</v>
      </c>
      <c r="D525" s="13" t="s">
        <v>1288</v>
      </c>
      <c r="E525" s="10">
        <v>1125257547</v>
      </c>
      <c r="F525" t="s">
        <v>35</v>
      </c>
      <c r="G525" t="s">
        <v>1289</v>
      </c>
      <c r="I525" s="10" t="s">
        <v>28</v>
      </c>
      <c r="J525" s="1">
        <v>45519</v>
      </c>
      <c r="K525" s="1">
        <v>45549</v>
      </c>
      <c r="L525" s="25">
        <f ca="1">CLIENTES[[#This Row],[Fecha Vencimiento]]-$J$6</f>
        <v>-46</v>
      </c>
      <c r="N525" s="1" t="str">
        <f t="shared" ca="1" si="16"/>
        <v>Vencido</v>
      </c>
      <c r="O525" s="19"/>
      <c r="P525" s="2"/>
      <c r="Q525" s="2">
        <f t="shared" si="17"/>
        <v>0</v>
      </c>
    </row>
    <row r="526" spans="2:17" x14ac:dyDescent="0.25">
      <c r="B526" t="s">
        <v>1290</v>
      </c>
      <c r="C526" s="13" t="s">
        <v>1262</v>
      </c>
      <c r="D526" s="13" t="s">
        <v>1291</v>
      </c>
      <c r="F526" t="s">
        <v>35</v>
      </c>
      <c r="G526" t="s">
        <v>1292</v>
      </c>
      <c r="H526" s="14">
        <v>5</v>
      </c>
      <c r="I526" s="10" t="s">
        <v>28</v>
      </c>
      <c r="J526" s="1">
        <v>45574</v>
      </c>
      <c r="K526" s="1">
        <v>45604</v>
      </c>
      <c r="L526" s="25">
        <f ca="1">CLIENTES[[#This Row],[Fecha Vencimiento]]-$J$6</f>
        <v>9</v>
      </c>
      <c r="N526" s="1" t="str">
        <f t="shared" ca="1" si="16"/>
        <v>Al dia</v>
      </c>
      <c r="O526" s="19"/>
      <c r="P526" s="2"/>
      <c r="Q526" s="2">
        <f t="shared" si="17"/>
        <v>0</v>
      </c>
    </row>
    <row r="527" spans="2:17" x14ac:dyDescent="0.25">
      <c r="C527" s="13" t="s">
        <v>1262</v>
      </c>
      <c r="D527" s="13" t="s">
        <v>1293</v>
      </c>
      <c r="E527" s="10">
        <v>1161284882</v>
      </c>
      <c r="F527" t="s">
        <v>35</v>
      </c>
      <c r="G527" t="s">
        <v>1294</v>
      </c>
      <c r="H527" s="14">
        <v>6</v>
      </c>
      <c r="I527" s="10" t="s">
        <v>28</v>
      </c>
      <c r="J527" s="1">
        <v>45574</v>
      </c>
      <c r="K527" s="1">
        <v>45605</v>
      </c>
      <c r="L527" s="25">
        <f ca="1">CLIENTES[[#This Row],[Fecha Vencimiento]]-$J$6</f>
        <v>10</v>
      </c>
      <c r="N527" s="1" t="str">
        <f t="shared" ca="1" si="16"/>
        <v>Al dia</v>
      </c>
      <c r="O527" s="19"/>
      <c r="P527" s="2"/>
      <c r="Q527" s="2">
        <f t="shared" si="17"/>
        <v>0</v>
      </c>
    </row>
    <row r="528" spans="2:17" x14ac:dyDescent="0.25">
      <c r="C528" s="13" t="s">
        <v>1262</v>
      </c>
      <c r="D528" s="13" t="s">
        <v>1295</v>
      </c>
      <c r="E528" s="10">
        <v>3856882587</v>
      </c>
      <c r="F528" t="s">
        <v>35</v>
      </c>
      <c r="G528" t="s">
        <v>1296</v>
      </c>
      <c r="H528" s="14">
        <v>7</v>
      </c>
      <c r="I528" s="10" t="s">
        <v>28</v>
      </c>
      <c r="J528" s="1">
        <v>45558</v>
      </c>
      <c r="K528" s="1">
        <v>45587</v>
      </c>
      <c r="L528" s="25">
        <f ca="1">CLIENTES[[#This Row],[Fecha Vencimiento]]-$J$6</f>
        <v>-8</v>
      </c>
      <c r="N528" s="1" t="str">
        <f t="shared" ca="1" si="16"/>
        <v>Vencido</v>
      </c>
      <c r="O528" s="19"/>
      <c r="P528" s="2"/>
      <c r="Q528" s="2">
        <f t="shared" si="17"/>
        <v>0</v>
      </c>
    </row>
    <row r="529" spans="3:17" x14ac:dyDescent="0.25">
      <c r="C529" s="13" t="s">
        <v>1262</v>
      </c>
      <c r="D529" s="13" t="s">
        <v>1297</v>
      </c>
      <c r="E529" s="10" t="s">
        <v>3111</v>
      </c>
      <c r="F529" t="s">
        <v>35</v>
      </c>
      <c r="G529" t="s">
        <v>1298</v>
      </c>
      <c r="H529" s="14">
        <v>5</v>
      </c>
      <c r="I529" s="10" t="s">
        <v>28</v>
      </c>
      <c r="J529" s="1">
        <v>45527</v>
      </c>
      <c r="K529" s="1">
        <v>45554</v>
      </c>
      <c r="L529" s="25">
        <f ca="1">CLIENTES[[#This Row],[Fecha Vencimiento]]-$J$6</f>
        <v>-41</v>
      </c>
      <c r="N529" s="1" t="str">
        <f t="shared" ca="1" si="16"/>
        <v>Vencido</v>
      </c>
      <c r="O529" s="19"/>
      <c r="P529" s="2"/>
      <c r="Q529" s="2">
        <f t="shared" si="17"/>
        <v>0</v>
      </c>
    </row>
    <row r="530" spans="3:17" x14ac:dyDescent="0.25">
      <c r="C530" s="13" t="s">
        <v>1262</v>
      </c>
      <c r="D530" s="13" t="s">
        <v>1299</v>
      </c>
      <c r="E530" s="10">
        <v>1121633783</v>
      </c>
      <c r="F530" t="s">
        <v>35</v>
      </c>
      <c r="G530" t="s">
        <v>1300</v>
      </c>
      <c r="H530" s="14">
        <v>3</v>
      </c>
      <c r="I530" s="10" t="s">
        <v>28</v>
      </c>
      <c r="J530" s="1">
        <v>45580</v>
      </c>
      <c r="K530" s="1">
        <v>45609</v>
      </c>
      <c r="L530" s="25">
        <f ca="1">CLIENTES[[#This Row],[Fecha Vencimiento]]-$J$6</f>
        <v>14</v>
      </c>
      <c r="N530" s="1" t="str">
        <f t="shared" ca="1" si="16"/>
        <v>Al dia</v>
      </c>
      <c r="O530" s="19"/>
      <c r="P530" s="2"/>
      <c r="Q530" s="2">
        <f t="shared" si="17"/>
        <v>0</v>
      </c>
    </row>
    <row r="531" spans="3:17" x14ac:dyDescent="0.25">
      <c r="C531" s="13" t="s">
        <v>1262</v>
      </c>
      <c r="D531" s="13" t="s">
        <v>963</v>
      </c>
      <c r="E531" s="10" t="s">
        <v>3110</v>
      </c>
      <c r="F531" t="s">
        <v>35</v>
      </c>
      <c r="G531" t="s">
        <v>1301</v>
      </c>
      <c r="H531" s="14">
        <v>4</v>
      </c>
      <c r="I531" s="10" t="s">
        <v>28</v>
      </c>
      <c r="J531" s="1">
        <v>45586</v>
      </c>
      <c r="K531" s="1">
        <v>45608</v>
      </c>
      <c r="L531" s="25">
        <f ca="1">CLIENTES[[#This Row],[Fecha Vencimiento]]-$J$6</f>
        <v>13</v>
      </c>
      <c r="N531" s="1" t="str">
        <f t="shared" ca="1" si="16"/>
        <v>Al dia</v>
      </c>
      <c r="O531" s="19"/>
      <c r="P531" s="2"/>
      <c r="Q531" s="2">
        <f t="shared" si="17"/>
        <v>0</v>
      </c>
    </row>
    <row r="532" spans="3:17" x14ac:dyDescent="0.25">
      <c r="C532" s="13" t="s">
        <v>1262</v>
      </c>
      <c r="D532" s="13" t="s">
        <v>1302</v>
      </c>
      <c r="E532" s="10">
        <v>1139305127</v>
      </c>
      <c r="F532" t="s">
        <v>35</v>
      </c>
      <c r="G532" t="s">
        <v>1303</v>
      </c>
      <c r="H532" s="14">
        <v>1</v>
      </c>
      <c r="I532" s="10" t="s">
        <v>28</v>
      </c>
      <c r="J532" s="1">
        <v>45570</v>
      </c>
      <c r="K532" s="1">
        <v>45602</v>
      </c>
      <c r="L532" s="25">
        <f ca="1">CLIENTES[[#This Row],[Fecha Vencimiento]]-$J$6</f>
        <v>7</v>
      </c>
      <c r="N532" s="1" t="str">
        <f t="shared" ca="1" si="16"/>
        <v>Al dia</v>
      </c>
      <c r="O532" s="19"/>
      <c r="P532" s="2"/>
      <c r="Q532" s="2">
        <f t="shared" si="17"/>
        <v>0</v>
      </c>
    </row>
    <row r="533" spans="3:17" x14ac:dyDescent="0.25">
      <c r="C533" s="13" t="s">
        <v>1262</v>
      </c>
      <c r="D533" s="13" t="s">
        <v>1304</v>
      </c>
      <c r="E533" s="10" t="s">
        <v>2931</v>
      </c>
      <c r="F533" t="s">
        <v>26</v>
      </c>
      <c r="G533" t="s">
        <v>1305</v>
      </c>
      <c r="H533" s="14">
        <v>2</v>
      </c>
      <c r="I533" s="10" t="s">
        <v>28</v>
      </c>
      <c r="J533" s="1">
        <v>45559</v>
      </c>
      <c r="K533" s="1">
        <v>45591</v>
      </c>
      <c r="L533" s="25">
        <f ca="1">CLIENTES[[#This Row],[Fecha Vencimiento]]-$J$6</f>
        <v>-4</v>
      </c>
      <c r="N533" s="1" t="str">
        <f t="shared" ca="1" si="16"/>
        <v>Vencido</v>
      </c>
      <c r="O533" s="19">
        <v>45528</v>
      </c>
      <c r="P533" s="2"/>
      <c r="Q533" s="2">
        <f t="shared" si="17"/>
        <v>-45528</v>
      </c>
    </row>
    <row r="534" spans="3:17" x14ac:dyDescent="0.25">
      <c r="C534" s="13" t="s">
        <v>1262</v>
      </c>
      <c r="D534" s="13" t="s">
        <v>1306</v>
      </c>
      <c r="E534" s="10">
        <v>1131921409</v>
      </c>
      <c r="F534" t="s">
        <v>26</v>
      </c>
      <c r="G534" t="s">
        <v>1307</v>
      </c>
      <c r="H534" s="14">
        <v>1</v>
      </c>
      <c r="I534" s="10" t="s">
        <v>28</v>
      </c>
      <c r="J534" s="1">
        <v>45568</v>
      </c>
      <c r="K534" s="1">
        <v>45599</v>
      </c>
      <c r="L534" s="25">
        <f ca="1">CLIENTES[[#This Row],[Fecha Vencimiento]]-$J$6</f>
        <v>4</v>
      </c>
      <c r="N534" s="1" t="str">
        <f t="shared" ca="1" si="16"/>
        <v>Al dia</v>
      </c>
      <c r="O534" s="19">
        <v>45568</v>
      </c>
      <c r="P534" s="2"/>
      <c r="Q534" s="2">
        <f t="shared" si="17"/>
        <v>-45568</v>
      </c>
    </row>
    <row r="535" spans="3:17" x14ac:dyDescent="0.25">
      <c r="C535" s="13" t="s">
        <v>1308</v>
      </c>
      <c r="D535" s="13" t="s">
        <v>1309</v>
      </c>
      <c r="E535" s="10" t="s">
        <v>2931</v>
      </c>
      <c r="F535" t="s">
        <v>35</v>
      </c>
      <c r="G535" t="s">
        <v>1310</v>
      </c>
      <c r="H535" s="14">
        <v>7</v>
      </c>
      <c r="I535" s="10" t="s">
        <v>28</v>
      </c>
      <c r="J535" s="1">
        <v>45554</v>
      </c>
      <c r="K535" s="1">
        <v>45580</v>
      </c>
      <c r="L535" s="25">
        <f ca="1">CLIENTES[[#This Row],[Fecha Vencimiento]]-$J$6</f>
        <v>-15</v>
      </c>
      <c r="N535" s="1" t="str">
        <f t="shared" ca="1" si="16"/>
        <v>Vencido</v>
      </c>
      <c r="O535" s="19"/>
      <c r="P535" s="2"/>
      <c r="Q535" s="2">
        <f t="shared" si="17"/>
        <v>0</v>
      </c>
    </row>
    <row r="536" spans="3:17" x14ac:dyDescent="0.25">
      <c r="C536" s="13" t="s">
        <v>1308</v>
      </c>
      <c r="D536" s="13" t="s">
        <v>1311</v>
      </c>
      <c r="E536" s="10" t="s">
        <v>2931</v>
      </c>
      <c r="F536" t="s">
        <v>35</v>
      </c>
      <c r="G536" t="s">
        <v>1276</v>
      </c>
      <c r="I536" s="10" t="s">
        <v>28</v>
      </c>
      <c r="J536" s="1">
        <v>45520</v>
      </c>
      <c r="K536" s="1">
        <v>45546</v>
      </c>
      <c r="L536" s="25">
        <f ca="1">CLIENTES[[#This Row],[Fecha Vencimiento]]-$J$6</f>
        <v>-49</v>
      </c>
      <c r="N536" s="1" t="str">
        <f t="shared" ca="1" si="16"/>
        <v>Vencido</v>
      </c>
      <c r="O536" s="19"/>
      <c r="P536" s="2"/>
      <c r="Q536" s="2">
        <f t="shared" si="17"/>
        <v>0</v>
      </c>
    </row>
    <row r="537" spans="3:17" x14ac:dyDescent="0.25">
      <c r="C537" s="13" t="s">
        <v>1312</v>
      </c>
      <c r="D537" s="13" t="s">
        <v>172</v>
      </c>
      <c r="F537" t="s">
        <v>35</v>
      </c>
      <c r="G537" t="s">
        <v>1313</v>
      </c>
      <c r="I537" s="10" t="s">
        <v>28</v>
      </c>
      <c r="J537" s="1">
        <v>45499</v>
      </c>
      <c r="K537" s="1">
        <v>45530</v>
      </c>
      <c r="L537" s="25">
        <f ca="1">CLIENTES[[#This Row],[Fecha Vencimiento]]-$J$6</f>
        <v>-65</v>
      </c>
      <c r="N537" s="1" t="str">
        <f t="shared" ca="1" si="16"/>
        <v>Vencido</v>
      </c>
      <c r="O537" s="19"/>
      <c r="P537" s="2"/>
      <c r="Q537" s="2">
        <f t="shared" si="17"/>
        <v>0</v>
      </c>
    </row>
    <row r="538" spans="3:17" x14ac:dyDescent="0.25">
      <c r="C538" s="13" t="s">
        <v>1314</v>
      </c>
      <c r="D538" s="13" t="s">
        <v>1315</v>
      </c>
      <c r="E538" s="10" t="s">
        <v>1028</v>
      </c>
      <c r="F538" t="s">
        <v>35</v>
      </c>
      <c r="G538" t="s">
        <v>1316</v>
      </c>
      <c r="H538" s="14">
        <v>3</v>
      </c>
      <c r="I538" s="10" t="s">
        <v>28</v>
      </c>
      <c r="J538" s="1">
        <v>45579</v>
      </c>
      <c r="K538" s="1">
        <v>45610</v>
      </c>
      <c r="L538" s="25">
        <f ca="1">CLIENTES[[#This Row],[Fecha Vencimiento]]-$J$6</f>
        <v>15</v>
      </c>
      <c r="N538" s="1" t="str">
        <f t="shared" ca="1" si="16"/>
        <v>Al dia</v>
      </c>
      <c r="O538" s="19"/>
      <c r="P538" s="2"/>
      <c r="Q538" s="2">
        <f t="shared" si="17"/>
        <v>0</v>
      </c>
    </row>
    <row r="539" spans="3:17" x14ac:dyDescent="0.25">
      <c r="C539" s="13" t="s">
        <v>1314</v>
      </c>
      <c r="D539" s="13" t="s">
        <v>1112</v>
      </c>
      <c r="E539" s="10">
        <v>1155022524</v>
      </c>
      <c r="F539" t="s">
        <v>35</v>
      </c>
      <c r="G539" t="s">
        <v>1317</v>
      </c>
      <c r="H539" s="14">
        <v>3</v>
      </c>
      <c r="I539" s="10" t="s">
        <v>28</v>
      </c>
      <c r="J539" s="1">
        <v>45584</v>
      </c>
      <c r="K539" s="1">
        <v>45618</v>
      </c>
      <c r="L539" s="25">
        <f ca="1">CLIENTES[[#This Row],[Fecha Vencimiento]]-$J$6</f>
        <v>23</v>
      </c>
      <c r="N539" s="1" t="str">
        <f t="shared" ca="1" si="16"/>
        <v>Al dia</v>
      </c>
      <c r="O539" s="19"/>
      <c r="P539" s="2"/>
      <c r="Q539" s="2">
        <f t="shared" si="17"/>
        <v>0</v>
      </c>
    </row>
    <row r="540" spans="3:17" x14ac:dyDescent="0.25">
      <c r="C540" s="13" t="s">
        <v>1318</v>
      </c>
      <c r="D540" s="13" t="s">
        <v>1319</v>
      </c>
      <c r="E540" s="10">
        <v>1156697872</v>
      </c>
      <c r="F540" t="s">
        <v>35</v>
      </c>
      <c r="G540" t="s">
        <v>1320</v>
      </c>
      <c r="H540" s="14">
        <v>4</v>
      </c>
      <c r="I540" s="10" t="s">
        <v>28</v>
      </c>
      <c r="J540" s="1">
        <v>45570</v>
      </c>
      <c r="K540" s="1">
        <v>45602</v>
      </c>
      <c r="L540" s="25">
        <f ca="1">CLIENTES[[#This Row],[Fecha Vencimiento]]-$J$6</f>
        <v>7</v>
      </c>
      <c r="N540" s="1" t="str">
        <f t="shared" ca="1" si="16"/>
        <v>Al dia</v>
      </c>
      <c r="O540" s="19"/>
      <c r="P540" s="2"/>
      <c r="Q540" s="2">
        <f t="shared" si="17"/>
        <v>0</v>
      </c>
    </row>
    <row r="541" spans="3:17" x14ac:dyDescent="0.25">
      <c r="C541" s="13" t="s">
        <v>1321</v>
      </c>
      <c r="D541" s="13" t="s">
        <v>1322</v>
      </c>
      <c r="E541" s="10">
        <v>1137953231</v>
      </c>
      <c r="F541" t="s">
        <v>26</v>
      </c>
      <c r="G541" t="s">
        <v>1323</v>
      </c>
      <c r="H541" s="14">
        <v>1</v>
      </c>
      <c r="I541" s="10" t="s">
        <v>28</v>
      </c>
      <c r="J541" s="1">
        <v>45560</v>
      </c>
      <c r="K541" s="1">
        <v>45590</v>
      </c>
      <c r="L541" s="25">
        <f ca="1">CLIENTES[[#This Row],[Fecha Vencimiento]]-$J$6</f>
        <v>-5</v>
      </c>
      <c r="N541" s="1" t="str">
        <f t="shared" ca="1" si="16"/>
        <v>Vencido</v>
      </c>
      <c r="O541" s="19">
        <v>45560</v>
      </c>
      <c r="P541" s="2"/>
      <c r="Q541" s="2">
        <f t="shared" si="17"/>
        <v>-45560</v>
      </c>
    </row>
    <row r="542" spans="3:17" x14ac:dyDescent="0.25">
      <c r="C542" s="13" t="s">
        <v>1324</v>
      </c>
      <c r="D542" s="13" t="s">
        <v>1325</v>
      </c>
      <c r="E542" s="10" t="s">
        <v>3106</v>
      </c>
      <c r="F542" t="s">
        <v>35</v>
      </c>
      <c r="G542" t="s">
        <v>1326</v>
      </c>
      <c r="H542" s="14">
        <v>4</v>
      </c>
      <c r="I542" s="10" t="s">
        <v>28</v>
      </c>
      <c r="J542" s="1">
        <v>45579</v>
      </c>
      <c r="K542" s="1">
        <v>45600</v>
      </c>
      <c r="L542" s="25">
        <f ca="1">CLIENTES[[#This Row],[Fecha Vencimiento]]-$J$6</f>
        <v>5</v>
      </c>
      <c r="N542" s="1" t="str">
        <f t="shared" ca="1" si="16"/>
        <v>Al dia</v>
      </c>
      <c r="O542" s="19"/>
      <c r="P542" s="2"/>
      <c r="Q542" s="2">
        <f t="shared" si="17"/>
        <v>0</v>
      </c>
    </row>
    <row r="543" spans="3:17" x14ac:dyDescent="0.25">
      <c r="C543" s="13" t="s">
        <v>1327</v>
      </c>
      <c r="D543" s="13" t="s">
        <v>1112</v>
      </c>
      <c r="E543" s="10">
        <v>1151111551</v>
      </c>
      <c r="F543" t="s">
        <v>35</v>
      </c>
      <c r="G543" t="s">
        <v>1328</v>
      </c>
      <c r="H543" s="14">
        <v>2</v>
      </c>
      <c r="I543" s="10" t="s">
        <v>28</v>
      </c>
      <c r="J543" s="1">
        <v>45534</v>
      </c>
      <c r="K543" s="1">
        <v>45558</v>
      </c>
      <c r="L543" s="25">
        <f ca="1">CLIENTES[[#This Row],[Fecha Vencimiento]]-$J$6</f>
        <v>-37</v>
      </c>
      <c r="N543" s="1" t="str">
        <f t="shared" ca="1" si="16"/>
        <v>Vencido</v>
      </c>
      <c r="O543" s="19"/>
      <c r="P543" s="2"/>
      <c r="Q543" s="2">
        <f t="shared" si="17"/>
        <v>0</v>
      </c>
    </row>
    <row r="544" spans="3:17" x14ac:dyDescent="0.25">
      <c r="C544" s="13" t="s">
        <v>1329</v>
      </c>
      <c r="D544" s="13" t="s">
        <v>1263</v>
      </c>
      <c r="E544" s="10">
        <v>1123122252</v>
      </c>
      <c r="F544" t="s">
        <v>232</v>
      </c>
      <c r="G544" t="s">
        <v>1330</v>
      </c>
      <c r="H544" s="14">
        <v>3</v>
      </c>
      <c r="I544" s="10" t="s">
        <v>183</v>
      </c>
      <c r="J544" s="1">
        <v>45529</v>
      </c>
      <c r="K544" s="1">
        <v>45554</v>
      </c>
      <c r="L544" s="25">
        <f ca="1">CLIENTES[[#This Row],[Fecha Vencimiento]]-$J$6</f>
        <v>-41</v>
      </c>
      <c r="N544" s="1" t="str">
        <f t="shared" ca="1" si="16"/>
        <v>Vencido</v>
      </c>
      <c r="O544" s="19"/>
      <c r="P544" s="2"/>
      <c r="Q544" s="2">
        <f t="shared" si="17"/>
        <v>0</v>
      </c>
    </row>
    <row r="545" spans="2:17" x14ac:dyDescent="0.25">
      <c r="C545" s="13" t="s">
        <v>1331</v>
      </c>
      <c r="D545" s="13" t="s">
        <v>1332</v>
      </c>
      <c r="E545" s="10">
        <v>1165886978</v>
      </c>
      <c r="F545" t="s">
        <v>35</v>
      </c>
      <c r="G545" t="s">
        <v>1333</v>
      </c>
      <c r="H545" s="14">
        <v>5</v>
      </c>
      <c r="I545" s="10" t="s">
        <v>28</v>
      </c>
      <c r="J545" s="1">
        <v>45577</v>
      </c>
      <c r="K545" s="1">
        <v>45602</v>
      </c>
      <c r="L545" s="25">
        <f ca="1">CLIENTES[[#This Row],[Fecha Vencimiento]]-$J$6</f>
        <v>7</v>
      </c>
      <c r="N545" s="1" t="str">
        <f t="shared" ca="1" si="16"/>
        <v>Al dia</v>
      </c>
      <c r="O545" s="19"/>
      <c r="P545" s="2"/>
      <c r="Q545" s="2">
        <f t="shared" si="17"/>
        <v>0</v>
      </c>
    </row>
    <row r="546" spans="2:17" x14ac:dyDescent="0.25">
      <c r="C546" s="13" t="s">
        <v>1334</v>
      </c>
      <c r="D546" s="13" t="s">
        <v>1335</v>
      </c>
      <c r="E546" s="10" t="s">
        <v>2931</v>
      </c>
      <c r="F546" t="s">
        <v>159</v>
      </c>
      <c r="G546" t="s">
        <v>1336</v>
      </c>
      <c r="H546" s="14">
        <v>1</v>
      </c>
      <c r="I546" s="10" t="s">
        <v>75</v>
      </c>
      <c r="J546" s="1">
        <v>45586</v>
      </c>
      <c r="K546" s="1">
        <v>45617</v>
      </c>
      <c r="L546" s="25">
        <f ca="1">CLIENTES[[#This Row],[Fecha Vencimiento]]-$J$6</f>
        <v>22</v>
      </c>
      <c r="N546" s="1" t="str">
        <f t="shared" ca="1" si="16"/>
        <v>Al dia</v>
      </c>
      <c r="O546" s="19">
        <v>45586</v>
      </c>
      <c r="P546" s="2"/>
      <c r="Q546" s="2">
        <f t="shared" si="17"/>
        <v>-45586</v>
      </c>
    </row>
    <row r="547" spans="2:17" x14ac:dyDescent="0.25">
      <c r="C547" s="13" t="s">
        <v>1334</v>
      </c>
      <c r="D547" s="13" t="s">
        <v>1337</v>
      </c>
      <c r="E547" s="10" t="s">
        <v>2931</v>
      </c>
      <c r="F547" t="s">
        <v>35</v>
      </c>
      <c r="G547" t="s">
        <v>1338</v>
      </c>
      <c r="H547" s="14">
        <v>4</v>
      </c>
      <c r="I547" s="10" t="s">
        <v>28</v>
      </c>
      <c r="J547" s="1">
        <v>45570</v>
      </c>
      <c r="K547" s="1">
        <v>45595</v>
      </c>
      <c r="L547" s="25">
        <f ca="1">CLIENTES[[#This Row],[Fecha Vencimiento]]-$J$6</f>
        <v>0</v>
      </c>
      <c r="N547" s="1" t="str">
        <f t="shared" ca="1" si="16"/>
        <v>Vence hoy</v>
      </c>
      <c r="O547" s="19"/>
      <c r="P547" s="2"/>
      <c r="Q547" s="2">
        <f t="shared" si="17"/>
        <v>0</v>
      </c>
    </row>
    <row r="548" spans="2:17" x14ac:dyDescent="0.25">
      <c r="C548" s="13" t="s">
        <v>1339</v>
      </c>
      <c r="D548" s="13" t="s">
        <v>1340</v>
      </c>
      <c r="F548" t="s">
        <v>35</v>
      </c>
      <c r="G548" t="s">
        <v>1341</v>
      </c>
      <c r="I548" s="10" t="s">
        <v>28</v>
      </c>
      <c r="J548" s="1">
        <v>45479</v>
      </c>
      <c r="K548" s="1">
        <v>45510</v>
      </c>
      <c r="L548" s="25">
        <f ca="1">CLIENTES[[#This Row],[Fecha Vencimiento]]-$J$6</f>
        <v>-85</v>
      </c>
      <c r="N548" s="1" t="str">
        <f t="shared" ca="1" si="16"/>
        <v>Vencido</v>
      </c>
      <c r="O548" s="19"/>
      <c r="P548" s="2"/>
      <c r="Q548" s="2">
        <f t="shared" si="17"/>
        <v>0</v>
      </c>
    </row>
    <row r="549" spans="2:17" x14ac:dyDescent="0.25">
      <c r="B549" t="s">
        <v>1097</v>
      </c>
      <c r="C549" s="13" t="s">
        <v>1342</v>
      </c>
      <c r="D549" s="13" t="s">
        <v>1343</v>
      </c>
      <c r="E549" s="10">
        <v>1158652532</v>
      </c>
      <c r="F549" t="s">
        <v>159</v>
      </c>
      <c r="G549" t="s">
        <v>1344</v>
      </c>
      <c r="H549" s="14">
        <v>1</v>
      </c>
      <c r="I549" s="10" t="s">
        <v>75</v>
      </c>
      <c r="J549" s="1">
        <v>45579</v>
      </c>
      <c r="K549" s="1">
        <v>45610</v>
      </c>
      <c r="L549" s="25">
        <f ca="1">CLIENTES[[#This Row],[Fecha Vencimiento]]-$J$6</f>
        <v>15</v>
      </c>
      <c r="N549" s="1" t="str">
        <f t="shared" ca="1" si="16"/>
        <v>Al dia</v>
      </c>
      <c r="O549" s="19">
        <v>45579</v>
      </c>
      <c r="P549" s="2"/>
      <c r="Q549" s="2">
        <f t="shared" si="17"/>
        <v>-45579</v>
      </c>
    </row>
    <row r="550" spans="2:17" x14ac:dyDescent="0.25">
      <c r="C550" s="13" t="s">
        <v>1345</v>
      </c>
      <c r="D550" s="13" t="s">
        <v>1346</v>
      </c>
      <c r="F550" t="s">
        <v>232</v>
      </c>
      <c r="G550" t="s">
        <v>1347</v>
      </c>
      <c r="H550" s="14">
        <v>4</v>
      </c>
      <c r="I550" s="10" t="s">
        <v>183</v>
      </c>
      <c r="J550" s="1">
        <v>45569</v>
      </c>
      <c r="K550" s="1">
        <v>45605</v>
      </c>
      <c r="L550" s="25">
        <f ca="1">CLIENTES[[#This Row],[Fecha Vencimiento]]-$J$6</f>
        <v>10</v>
      </c>
      <c r="N550" s="1" t="str">
        <f t="shared" ca="1" si="16"/>
        <v>Al dia</v>
      </c>
      <c r="O550" s="19"/>
      <c r="P550" s="2"/>
      <c r="Q550" s="2">
        <f t="shared" si="17"/>
        <v>0</v>
      </c>
    </row>
    <row r="551" spans="2:17" x14ac:dyDescent="0.25">
      <c r="C551" s="13" t="s">
        <v>1348</v>
      </c>
      <c r="D551" s="13" t="s">
        <v>1349</v>
      </c>
      <c r="E551" s="10">
        <v>1128198982</v>
      </c>
      <c r="F551" t="s">
        <v>35</v>
      </c>
      <c r="G551" t="s">
        <v>1350</v>
      </c>
      <c r="H551" s="14">
        <v>6</v>
      </c>
      <c r="I551" s="10" t="s">
        <v>28</v>
      </c>
      <c r="J551" s="1">
        <v>45544</v>
      </c>
      <c r="K551" s="1">
        <v>45573</v>
      </c>
      <c r="L551" s="25">
        <f ca="1">CLIENTES[[#This Row],[Fecha Vencimiento]]-$J$6</f>
        <v>-22</v>
      </c>
      <c r="N551" s="1" t="str">
        <f t="shared" ca="1" si="16"/>
        <v>Vencido</v>
      </c>
      <c r="O551" s="19"/>
      <c r="P551" s="2"/>
      <c r="Q551" s="2">
        <f t="shared" si="17"/>
        <v>0</v>
      </c>
    </row>
    <row r="552" spans="2:17" x14ac:dyDescent="0.25">
      <c r="C552" s="13" t="s">
        <v>1348</v>
      </c>
      <c r="D552" s="13" t="s">
        <v>1063</v>
      </c>
      <c r="F552" t="s">
        <v>35</v>
      </c>
      <c r="G552" t="s">
        <v>1351</v>
      </c>
      <c r="I552" s="10" t="s">
        <v>28</v>
      </c>
      <c r="J552" s="1">
        <v>45467</v>
      </c>
      <c r="K552" s="1">
        <v>45497</v>
      </c>
      <c r="L552" s="25">
        <f ca="1">CLIENTES[[#This Row],[Fecha Vencimiento]]-$J$6</f>
        <v>-98</v>
      </c>
      <c r="N552" s="1" t="str">
        <f t="shared" ca="1" si="16"/>
        <v>Vencido</v>
      </c>
      <c r="O552" s="19"/>
      <c r="P552" s="2"/>
      <c r="Q552" s="2">
        <f t="shared" si="17"/>
        <v>0</v>
      </c>
    </row>
    <row r="553" spans="2:17" x14ac:dyDescent="0.25">
      <c r="C553" s="13" t="s">
        <v>1348</v>
      </c>
      <c r="D553" s="13" t="s">
        <v>990</v>
      </c>
      <c r="E553" s="10" t="s">
        <v>2931</v>
      </c>
      <c r="F553" t="s">
        <v>35</v>
      </c>
      <c r="G553" t="s">
        <v>1352</v>
      </c>
      <c r="H553" s="14">
        <v>4</v>
      </c>
      <c r="I553" s="10" t="s">
        <v>28</v>
      </c>
      <c r="J553" s="1">
        <v>45595</v>
      </c>
      <c r="K553" s="1">
        <v>45626</v>
      </c>
      <c r="L553" s="25">
        <f ca="1">CLIENTES[[#This Row],[Fecha Vencimiento]]-$J$6</f>
        <v>31</v>
      </c>
      <c r="N553" s="1" t="str">
        <f t="shared" ca="1" si="16"/>
        <v>Al dia</v>
      </c>
      <c r="O553" s="19"/>
      <c r="P553" s="2"/>
      <c r="Q553" s="2">
        <f t="shared" si="17"/>
        <v>0</v>
      </c>
    </row>
    <row r="554" spans="2:17" x14ac:dyDescent="0.25">
      <c r="C554" s="13" t="s">
        <v>1353</v>
      </c>
      <c r="D554" s="13" t="s">
        <v>1354</v>
      </c>
      <c r="E554" s="10">
        <v>1123879356</v>
      </c>
      <c r="F554" t="s">
        <v>35</v>
      </c>
      <c r="G554" t="s">
        <v>1355</v>
      </c>
      <c r="H554" s="14">
        <v>2</v>
      </c>
      <c r="I554" s="10" t="s">
        <v>28</v>
      </c>
      <c r="J554" s="1">
        <v>45569</v>
      </c>
      <c r="K554" s="1">
        <v>45601</v>
      </c>
      <c r="L554" s="25">
        <f ca="1">CLIENTES[[#This Row],[Fecha Vencimiento]]-$J$6</f>
        <v>6</v>
      </c>
      <c r="N554" s="1" t="str">
        <f t="shared" ca="1" si="16"/>
        <v>Al dia</v>
      </c>
      <c r="O554" s="19">
        <v>45539</v>
      </c>
      <c r="P554" s="2"/>
      <c r="Q554" s="2">
        <f t="shared" si="17"/>
        <v>-45539</v>
      </c>
    </row>
    <row r="555" spans="2:17" x14ac:dyDescent="0.25">
      <c r="C555" s="13" t="s">
        <v>1356</v>
      </c>
      <c r="D555" s="13" t="s">
        <v>1357</v>
      </c>
      <c r="E555" s="10" t="s">
        <v>2931</v>
      </c>
      <c r="F555" t="s">
        <v>35</v>
      </c>
      <c r="G555" t="s">
        <v>1358</v>
      </c>
      <c r="H555" s="14">
        <v>1</v>
      </c>
      <c r="I555" s="10" t="s">
        <v>28</v>
      </c>
      <c r="J555" s="1">
        <v>45526</v>
      </c>
      <c r="K555" s="1">
        <v>45557</v>
      </c>
      <c r="L555" s="25">
        <f ca="1">CLIENTES[[#This Row],[Fecha Vencimiento]]-$J$6</f>
        <v>-38</v>
      </c>
      <c r="N555" s="1" t="str">
        <f t="shared" ca="1" si="16"/>
        <v>Vencido</v>
      </c>
      <c r="O555" s="19">
        <v>45526</v>
      </c>
      <c r="P555" s="2"/>
      <c r="Q555" s="2">
        <f t="shared" si="17"/>
        <v>-45526</v>
      </c>
    </row>
    <row r="556" spans="2:17" x14ac:dyDescent="0.25">
      <c r="C556" s="13" t="s">
        <v>1356</v>
      </c>
      <c r="D556" s="13" t="s">
        <v>1359</v>
      </c>
      <c r="E556" s="10" t="s">
        <v>2931</v>
      </c>
      <c r="F556" t="s">
        <v>35</v>
      </c>
      <c r="G556" t="s">
        <v>1360</v>
      </c>
      <c r="H556" s="14">
        <v>1</v>
      </c>
      <c r="I556" s="10" t="s">
        <v>28</v>
      </c>
      <c r="J556" s="1">
        <v>45548</v>
      </c>
      <c r="K556" s="1">
        <v>45578</v>
      </c>
      <c r="L556" s="25">
        <f ca="1">CLIENTES[[#This Row],[Fecha Vencimiento]]-$J$6</f>
        <v>-17</v>
      </c>
      <c r="N556" s="1" t="str">
        <f t="shared" ca="1" si="16"/>
        <v>Vencido</v>
      </c>
      <c r="O556" s="19">
        <v>45548</v>
      </c>
      <c r="P556" s="2"/>
      <c r="Q556" s="2">
        <f t="shared" si="17"/>
        <v>-45548</v>
      </c>
    </row>
    <row r="557" spans="2:17" x14ac:dyDescent="0.25">
      <c r="C557" s="13" t="s">
        <v>1356</v>
      </c>
      <c r="D557" s="13" t="s">
        <v>895</v>
      </c>
      <c r="E557" s="10" t="s">
        <v>3110</v>
      </c>
      <c r="F557" t="s">
        <v>35</v>
      </c>
      <c r="G557" t="s">
        <v>1361</v>
      </c>
      <c r="H557" s="14">
        <v>7</v>
      </c>
      <c r="I557" s="10" t="s">
        <v>28</v>
      </c>
      <c r="J557" s="1">
        <v>45581</v>
      </c>
      <c r="K557" s="1">
        <v>45608</v>
      </c>
      <c r="L557" s="25">
        <f ca="1">CLIENTES[[#This Row],[Fecha Vencimiento]]-$J$6</f>
        <v>13</v>
      </c>
      <c r="N557" s="1" t="str">
        <f t="shared" ca="1" si="16"/>
        <v>Al dia</v>
      </c>
      <c r="O557" s="19"/>
      <c r="P557" s="2"/>
      <c r="Q557" s="2">
        <f t="shared" si="17"/>
        <v>0</v>
      </c>
    </row>
    <row r="558" spans="2:17" x14ac:dyDescent="0.25">
      <c r="C558" s="13" t="s">
        <v>1362</v>
      </c>
      <c r="D558" s="13" t="s">
        <v>1363</v>
      </c>
      <c r="E558" s="10" t="s">
        <v>1028</v>
      </c>
      <c r="F558" t="s">
        <v>35</v>
      </c>
      <c r="G558" t="s">
        <v>1364</v>
      </c>
      <c r="H558" s="14">
        <v>5</v>
      </c>
      <c r="I558" s="10" t="s">
        <v>28</v>
      </c>
      <c r="J558" s="1">
        <v>45570</v>
      </c>
      <c r="K558" s="1">
        <v>45586</v>
      </c>
      <c r="L558" s="25">
        <f ca="1">CLIENTES[[#This Row],[Fecha Vencimiento]]-$J$6</f>
        <v>-9</v>
      </c>
      <c r="N558" s="1" t="str">
        <f t="shared" ca="1" si="16"/>
        <v>Vencido</v>
      </c>
      <c r="O558" s="19"/>
      <c r="P558" s="2"/>
      <c r="Q558" s="2">
        <f t="shared" si="17"/>
        <v>0</v>
      </c>
    </row>
    <row r="559" spans="2:17" x14ac:dyDescent="0.25">
      <c r="C559" s="13" t="s">
        <v>1365</v>
      </c>
      <c r="D559" s="13" t="s">
        <v>46</v>
      </c>
      <c r="E559" s="10">
        <v>1127696282</v>
      </c>
      <c r="F559" t="s">
        <v>35</v>
      </c>
      <c r="G559" t="s">
        <v>1366</v>
      </c>
      <c r="H559" s="14">
        <v>3</v>
      </c>
      <c r="I559" s="10" t="s">
        <v>28</v>
      </c>
      <c r="J559" s="1">
        <v>45586</v>
      </c>
      <c r="K559" s="1">
        <v>45615</v>
      </c>
      <c r="L559" s="25">
        <f ca="1">CLIENTES[[#This Row],[Fecha Vencimiento]]-$J$6</f>
        <v>20</v>
      </c>
      <c r="N559" s="1" t="str">
        <f t="shared" ca="1" si="16"/>
        <v>Al dia</v>
      </c>
      <c r="O559" s="19"/>
      <c r="P559" s="2"/>
      <c r="Q559" s="2">
        <f t="shared" si="17"/>
        <v>0</v>
      </c>
    </row>
    <row r="560" spans="2:17" x14ac:dyDescent="0.25">
      <c r="C560" t="s">
        <v>1365</v>
      </c>
      <c r="D560" t="s">
        <v>1367</v>
      </c>
      <c r="E560" s="10" t="s">
        <v>2931</v>
      </c>
      <c r="F560" t="s">
        <v>35</v>
      </c>
      <c r="G560" t="s">
        <v>1368</v>
      </c>
      <c r="H560" s="14">
        <v>2</v>
      </c>
      <c r="I560" s="10" t="s">
        <v>28</v>
      </c>
      <c r="J560" s="1">
        <v>45586</v>
      </c>
      <c r="K560" s="1">
        <v>45615</v>
      </c>
      <c r="L560" s="25">
        <f ca="1">CLIENTES[[#This Row],[Fecha Vencimiento]]-$J$6</f>
        <v>20</v>
      </c>
      <c r="N560" s="1" t="str">
        <f t="shared" ca="1" si="16"/>
        <v>Al dia</v>
      </c>
      <c r="O560" s="19">
        <v>45553</v>
      </c>
      <c r="P560" s="2"/>
      <c r="Q560" s="2">
        <f t="shared" si="17"/>
        <v>-45553</v>
      </c>
    </row>
    <row r="561" spans="3:17" x14ac:dyDescent="0.25">
      <c r="C561" s="13" t="s">
        <v>1369</v>
      </c>
      <c r="D561" s="13" t="s">
        <v>1370</v>
      </c>
      <c r="E561" s="10">
        <v>1171854028</v>
      </c>
      <c r="F561" t="s">
        <v>35</v>
      </c>
      <c r="G561" t="s">
        <v>1371</v>
      </c>
      <c r="H561" s="14">
        <v>2</v>
      </c>
      <c r="I561" s="10" t="s">
        <v>28</v>
      </c>
      <c r="J561" s="1">
        <v>45595</v>
      </c>
      <c r="K561" s="1">
        <v>45627</v>
      </c>
      <c r="L561" s="25">
        <f ca="1">CLIENTES[[#This Row],[Fecha Vencimiento]]-$J$6</f>
        <v>32</v>
      </c>
      <c r="N561" s="1" t="str">
        <f t="shared" ca="1" si="16"/>
        <v>Al dia</v>
      </c>
      <c r="O561" s="19">
        <v>45565</v>
      </c>
      <c r="P561" s="2"/>
      <c r="Q561" s="2">
        <f t="shared" si="17"/>
        <v>-45565</v>
      </c>
    </row>
    <row r="562" spans="3:17" x14ac:dyDescent="0.25">
      <c r="C562" s="13" t="s">
        <v>1372</v>
      </c>
      <c r="D562" s="13" t="s">
        <v>1373</v>
      </c>
      <c r="E562" s="10" t="s">
        <v>3114</v>
      </c>
      <c r="F562" t="s">
        <v>35</v>
      </c>
      <c r="G562" t="s">
        <v>1374</v>
      </c>
      <c r="I562" s="10" t="s">
        <v>28</v>
      </c>
      <c r="J562" s="1">
        <v>45520</v>
      </c>
      <c r="K562" s="1">
        <v>45549</v>
      </c>
      <c r="L562" s="25">
        <f ca="1">CLIENTES[[#This Row],[Fecha Vencimiento]]-$J$6</f>
        <v>-46</v>
      </c>
      <c r="N562" s="1" t="str">
        <f t="shared" ca="1" si="16"/>
        <v>Vencido</v>
      </c>
      <c r="O562" s="19"/>
      <c r="P562" s="2"/>
      <c r="Q562" s="2">
        <f t="shared" si="17"/>
        <v>0</v>
      </c>
    </row>
    <row r="563" spans="3:17" x14ac:dyDescent="0.25">
      <c r="C563" s="13" t="s">
        <v>1375</v>
      </c>
      <c r="D563" s="13" t="s">
        <v>1376</v>
      </c>
      <c r="E563" s="10" t="s">
        <v>3114</v>
      </c>
      <c r="F563" t="s">
        <v>35</v>
      </c>
      <c r="G563" t="s">
        <v>1377</v>
      </c>
      <c r="H563" s="14">
        <v>6</v>
      </c>
      <c r="I563" s="10" t="s">
        <v>28</v>
      </c>
      <c r="J563" s="1">
        <v>45563</v>
      </c>
      <c r="K563" s="1">
        <v>45594</v>
      </c>
      <c r="L563" s="25">
        <f ca="1">CLIENTES[[#This Row],[Fecha Vencimiento]]-$J$6</f>
        <v>-1</v>
      </c>
      <c r="N563" s="1" t="str">
        <f t="shared" ref="N563:N626" ca="1" si="18">IF(L563&lt;0,"Vencido",IF(L563=0,"Vence hoy",IF(L563&lt;4,"Por vencer","Al dia")))</f>
        <v>Vencido</v>
      </c>
      <c r="O563" s="19"/>
      <c r="P563" s="2"/>
      <c r="Q563" s="2">
        <f t="shared" si="17"/>
        <v>0</v>
      </c>
    </row>
    <row r="564" spans="3:17" x14ac:dyDescent="0.25">
      <c r="C564" s="13" t="s">
        <v>1378</v>
      </c>
      <c r="D564" s="13" t="s">
        <v>1095</v>
      </c>
      <c r="E564" s="10">
        <v>1121870792</v>
      </c>
      <c r="F564" t="s">
        <v>35</v>
      </c>
      <c r="G564" t="s">
        <v>1379</v>
      </c>
      <c r="H564" s="14">
        <v>4</v>
      </c>
      <c r="I564" s="10" t="s">
        <v>28</v>
      </c>
      <c r="J564" s="1">
        <v>45587</v>
      </c>
      <c r="K564" s="1">
        <v>45614</v>
      </c>
      <c r="L564" s="25">
        <f ca="1">CLIENTES[[#This Row],[Fecha Vencimiento]]-$J$6</f>
        <v>19</v>
      </c>
      <c r="N564" s="1" t="str">
        <f t="shared" ca="1" si="18"/>
        <v>Al dia</v>
      </c>
      <c r="O564" s="19"/>
      <c r="P564" s="2"/>
      <c r="Q564" s="2">
        <f t="shared" si="17"/>
        <v>0</v>
      </c>
    </row>
    <row r="565" spans="3:17" x14ac:dyDescent="0.25">
      <c r="C565" s="13" t="s">
        <v>1378</v>
      </c>
      <c r="D565" s="13" t="s">
        <v>1095</v>
      </c>
      <c r="E565" s="10">
        <v>1121870792</v>
      </c>
      <c r="F565" t="s">
        <v>35</v>
      </c>
      <c r="G565" t="s">
        <v>1380</v>
      </c>
      <c r="H565" s="14">
        <v>2</v>
      </c>
      <c r="I565" s="10" t="s">
        <v>28</v>
      </c>
      <c r="J565" s="1">
        <v>45581</v>
      </c>
      <c r="K565" s="1">
        <v>45612</v>
      </c>
      <c r="L565" s="25">
        <f ca="1">CLIENTES[[#This Row],[Fecha Vencimiento]]-$J$6</f>
        <v>17</v>
      </c>
      <c r="N565" s="1" t="str">
        <f t="shared" ca="1" si="18"/>
        <v>Al dia</v>
      </c>
      <c r="O565" s="19"/>
      <c r="P565" s="2"/>
      <c r="Q565" s="2">
        <f t="shared" si="17"/>
        <v>0</v>
      </c>
    </row>
    <row r="566" spans="3:17" x14ac:dyDescent="0.25">
      <c r="C566" s="13" t="s">
        <v>1381</v>
      </c>
      <c r="D566" s="13" t="s">
        <v>1382</v>
      </c>
      <c r="E566" s="10">
        <v>1124100181</v>
      </c>
      <c r="F566" t="s">
        <v>77</v>
      </c>
      <c r="G566" t="s">
        <v>1383</v>
      </c>
      <c r="H566" s="14">
        <v>4</v>
      </c>
      <c r="I566" s="10" t="s">
        <v>79</v>
      </c>
      <c r="J566" s="1">
        <v>45477</v>
      </c>
      <c r="K566" s="1">
        <v>45543</v>
      </c>
      <c r="L566" s="25">
        <f ca="1">CLIENTES[[#This Row],[Fecha Vencimiento]]-$J$6</f>
        <v>-52</v>
      </c>
      <c r="N566" s="1" t="str">
        <f t="shared" ca="1" si="18"/>
        <v>Vencido</v>
      </c>
      <c r="O566" s="19"/>
      <c r="P566" s="2"/>
      <c r="Q566" s="2">
        <f t="shared" si="17"/>
        <v>0</v>
      </c>
    </row>
    <row r="567" spans="3:17" x14ac:dyDescent="0.25">
      <c r="C567" s="13" t="s">
        <v>1381</v>
      </c>
      <c r="D567" s="13" t="s">
        <v>1384</v>
      </c>
      <c r="E567" s="10">
        <v>1124100181</v>
      </c>
      <c r="F567" t="s">
        <v>232</v>
      </c>
      <c r="G567" s="1" t="s">
        <v>1383</v>
      </c>
      <c r="H567" s="14">
        <v>3</v>
      </c>
      <c r="I567" s="10" t="s">
        <v>183</v>
      </c>
      <c r="J567" s="1">
        <v>45568</v>
      </c>
      <c r="K567" s="1">
        <v>45601</v>
      </c>
      <c r="L567" s="25">
        <f ca="1">CLIENTES[[#This Row],[Fecha Vencimiento]]-$J$6</f>
        <v>6</v>
      </c>
      <c r="N567" s="1" t="str">
        <f t="shared" ca="1" si="18"/>
        <v>Al dia</v>
      </c>
      <c r="O567" s="19"/>
      <c r="P567" s="2"/>
      <c r="Q567" s="2">
        <f t="shared" si="17"/>
        <v>0</v>
      </c>
    </row>
    <row r="568" spans="3:17" x14ac:dyDescent="0.25">
      <c r="C568" s="13" t="s">
        <v>1381</v>
      </c>
      <c r="D568" s="13" t="s">
        <v>1385</v>
      </c>
      <c r="F568" t="s">
        <v>35</v>
      </c>
      <c r="G568" t="s">
        <v>1386</v>
      </c>
      <c r="I568" s="10" t="s">
        <v>28</v>
      </c>
      <c r="J568" s="1">
        <v>45467</v>
      </c>
      <c r="K568" s="1">
        <v>45497</v>
      </c>
      <c r="L568" s="25">
        <f ca="1">CLIENTES[[#This Row],[Fecha Vencimiento]]-$J$6</f>
        <v>-98</v>
      </c>
      <c r="N568" s="1" t="str">
        <f t="shared" ca="1" si="18"/>
        <v>Vencido</v>
      </c>
      <c r="O568" s="19"/>
      <c r="P568" s="2"/>
      <c r="Q568" s="2">
        <f t="shared" si="17"/>
        <v>0</v>
      </c>
    </row>
    <row r="569" spans="3:17" x14ac:dyDescent="0.25">
      <c r="C569" s="13" t="s">
        <v>1381</v>
      </c>
      <c r="D569" s="13" t="s">
        <v>1382</v>
      </c>
      <c r="E569" s="10">
        <v>1124100181</v>
      </c>
      <c r="F569" t="s">
        <v>35</v>
      </c>
      <c r="G569" t="s">
        <v>1387</v>
      </c>
      <c r="H569" s="14">
        <v>2</v>
      </c>
      <c r="I569" s="10" t="s">
        <v>28</v>
      </c>
      <c r="J569" s="1">
        <v>45568</v>
      </c>
      <c r="K569" s="1">
        <v>45606</v>
      </c>
      <c r="L569" s="25">
        <f ca="1">CLIENTES[[#This Row],[Fecha Vencimiento]]-$J$6</f>
        <v>11</v>
      </c>
      <c r="N569" s="1" t="str">
        <f t="shared" ca="1" si="18"/>
        <v>Al dia</v>
      </c>
      <c r="O569" s="19">
        <v>45545</v>
      </c>
      <c r="P569" s="2"/>
      <c r="Q569" s="2">
        <f t="shared" si="17"/>
        <v>-45545</v>
      </c>
    </row>
    <row r="570" spans="3:17" x14ac:dyDescent="0.25">
      <c r="C570" s="13" t="s">
        <v>1381</v>
      </c>
      <c r="D570" s="13" t="s">
        <v>1388</v>
      </c>
      <c r="F570" t="s">
        <v>26</v>
      </c>
      <c r="G570" t="s">
        <v>1389</v>
      </c>
      <c r="H570" s="14">
        <v>1</v>
      </c>
      <c r="I570" s="10" t="s">
        <v>28</v>
      </c>
      <c r="J570" s="1">
        <v>45549</v>
      </c>
      <c r="K570" s="1">
        <v>45579</v>
      </c>
      <c r="L570" s="25">
        <f ca="1">CLIENTES[[#This Row],[Fecha Vencimiento]]-$J$6</f>
        <v>-16</v>
      </c>
      <c r="N570" s="1" t="str">
        <f t="shared" ca="1" si="18"/>
        <v>Vencido</v>
      </c>
      <c r="O570" s="19">
        <v>45549</v>
      </c>
      <c r="P570" s="2"/>
      <c r="Q570" s="2">
        <f t="shared" si="17"/>
        <v>-45549</v>
      </c>
    </row>
    <row r="571" spans="3:17" x14ac:dyDescent="0.25">
      <c r="C571" s="13" t="s">
        <v>1390</v>
      </c>
      <c r="D571" s="13" t="s">
        <v>1391</v>
      </c>
      <c r="E571" s="10">
        <v>1125951524</v>
      </c>
      <c r="F571" t="s">
        <v>35</v>
      </c>
      <c r="G571" t="s">
        <v>1392</v>
      </c>
      <c r="H571" s="14">
        <v>3</v>
      </c>
      <c r="I571" s="10" t="s">
        <v>28</v>
      </c>
      <c r="J571" s="1">
        <v>45556</v>
      </c>
      <c r="K571" s="1">
        <v>45587</v>
      </c>
      <c r="L571" s="25">
        <f ca="1">CLIENTES[[#This Row],[Fecha Vencimiento]]-$J$6</f>
        <v>-8</v>
      </c>
      <c r="N571" s="1" t="str">
        <f t="shared" ca="1" si="18"/>
        <v>Vencido</v>
      </c>
      <c r="O571" s="19"/>
      <c r="P571" s="2"/>
      <c r="Q571" s="2">
        <f t="shared" si="17"/>
        <v>0</v>
      </c>
    </row>
    <row r="572" spans="3:17" x14ac:dyDescent="0.25">
      <c r="C572" s="13" t="s">
        <v>1390</v>
      </c>
      <c r="D572" s="13" t="s">
        <v>1393</v>
      </c>
      <c r="G572" t="s">
        <v>1394</v>
      </c>
      <c r="H572" s="14">
        <v>1</v>
      </c>
      <c r="I572" s="10" t="s">
        <v>28</v>
      </c>
      <c r="J572" s="1">
        <v>45566</v>
      </c>
      <c r="K572" s="1">
        <v>45597</v>
      </c>
      <c r="L572" s="26">
        <f ca="1">CLIENTES[[#This Row],[Fecha Vencimiento]]-$J$6</f>
        <v>2</v>
      </c>
      <c r="N572" s="1" t="str">
        <f t="shared" ca="1" si="18"/>
        <v>Por vencer</v>
      </c>
      <c r="O572" s="19"/>
      <c r="P572" s="2"/>
      <c r="Q572" s="2">
        <f t="shared" si="17"/>
        <v>0</v>
      </c>
    </row>
    <row r="573" spans="3:17" x14ac:dyDescent="0.25">
      <c r="C573" s="13" t="s">
        <v>1395</v>
      </c>
      <c r="D573" s="13" t="s">
        <v>1396</v>
      </c>
      <c r="E573" s="10" t="s">
        <v>2931</v>
      </c>
      <c r="F573" t="s">
        <v>35</v>
      </c>
      <c r="G573" t="s">
        <v>1397</v>
      </c>
      <c r="H573" s="14">
        <v>3</v>
      </c>
      <c r="I573" s="10" t="s">
        <v>28</v>
      </c>
      <c r="J573" s="1">
        <v>45582</v>
      </c>
      <c r="K573" s="1">
        <v>45611</v>
      </c>
      <c r="L573" s="25">
        <f ca="1">CLIENTES[[#This Row],[Fecha Vencimiento]]-$J$6</f>
        <v>16</v>
      </c>
      <c r="N573" s="1" t="str">
        <f t="shared" ca="1" si="18"/>
        <v>Al dia</v>
      </c>
      <c r="O573" s="19">
        <v>45519</v>
      </c>
      <c r="P573" s="2"/>
      <c r="Q573" s="2">
        <f t="shared" si="17"/>
        <v>-45519</v>
      </c>
    </row>
    <row r="574" spans="3:17" x14ac:dyDescent="0.25">
      <c r="C574" s="13" t="s">
        <v>1398</v>
      </c>
      <c r="D574" s="13" t="s">
        <v>960</v>
      </c>
      <c r="E574" s="10">
        <v>1150606730</v>
      </c>
      <c r="F574" t="s">
        <v>26</v>
      </c>
      <c r="G574" t="s">
        <v>1399</v>
      </c>
      <c r="H574" s="14">
        <v>2</v>
      </c>
      <c r="I574" s="10" t="s">
        <v>28</v>
      </c>
      <c r="J574" s="1">
        <v>45575</v>
      </c>
      <c r="K574" s="1">
        <v>45606</v>
      </c>
      <c r="L574" s="25">
        <f ca="1">CLIENTES[[#This Row],[Fecha Vencimiento]]-$J$6</f>
        <v>11</v>
      </c>
      <c r="N574" s="1" t="str">
        <f t="shared" ca="1" si="18"/>
        <v>Al dia</v>
      </c>
      <c r="O574" s="19">
        <v>45545</v>
      </c>
      <c r="P574" s="2"/>
      <c r="Q574" s="2">
        <f t="shared" si="17"/>
        <v>-45545</v>
      </c>
    </row>
    <row r="575" spans="3:17" x14ac:dyDescent="0.25">
      <c r="C575" s="13" t="s">
        <v>1398</v>
      </c>
      <c r="D575" s="13" t="s">
        <v>1400</v>
      </c>
      <c r="E575" s="10">
        <v>1162600050</v>
      </c>
      <c r="F575" t="s">
        <v>26</v>
      </c>
      <c r="G575" t="s">
        <v>1401</v>
      </c>
      <c r="H575" s="14">
        <v>2</v>
      </c>
      <c r="I575" s="10" t="s">
        <v>28</v>
      </c>
      <c r="J575" s="1">
        <v>45575</v>
      </c>
      <c r="K575" s="1">
        <v>45606</v>
      </c>
      <c r="L575" s="25">
        <f ca="1">CLIENTES[[#This Row],[Fecha Vencimiento]]-$J$6</f>
        <v>11</v>
      </c>
      <c r="N575" s="1" t="str">
        <f t="shared" ca="1" si="18"/>
        <v>Al dia</v>
      </c>
      <c r="O575" s="19">
        <v>45545</v>
      </c>
      <c r="P575" s="2"/>
      <c r="Q575" s="2">
        <f t="shared" si="17"/>
        <v>-45545</v>
      </c>
    </row>
    <row r="576" spans="3:17" x14ac:dyDescent="0.25">
      <c r="C576" s="13" t="s">
        <v>1402</v>
      </c>
      <c r="D576" s="13" t="s">
        <v>1403</v>
      </c>
      <c r="E576" s="10">
        <v>1159071581</v>
      </c>
      <c r="F576" t="s">
        <v>35</v>
      </c>
      <c r="G576" t="s">
        <v>1404</v>
      </c>
      <c r="H576" s="14">
        <v>3</v>
      </c>
      <c r="I576" s="10" t="s">
        <v>28</v>
      </c>
      <c r="J576" s="1">
        <v>45593</v>
      </c>
      <c r="K576" s="1">
        <v>45624</v>
      </c>
      <c r="L576" s="25">
        <f ca="1">CLIENTES[[#This Row],[Fecha Vencimiento]]-$J$6</f>
        <v>29</v>
      </c>
      <c r="N576" s="1" t="str">
        <f t="shared" ca="1" si="18"/>
        <v>Al dia</v>
      </c>
      <c r="O576" s="19">
        <v>45532</v>
      </c>
      <c r="P576" s="2"/>
      <c r="Q576" s="2">
        <f t="shared" si="17"/>
        <v>-45532</v>
      </c>
    </row>
    <row r="577" spans="3:17" x14ac:dyDescent="0.25">
      <c r="C577" s="13" t="s">
        <v>1402</v>
      </c>
      <c r="D577" s="13" t="s">
        <v>1405</v>
      </c>
      <c r="E577" s="10" t="s">
        <v>3110</v>
      </c>
      <c r="F577" t="s">
        <v>35</v>
      </c>
      <c r="G577" t="s">
        <v>1406</v>
      </c>
      <c r="H577" s="14">
        <v>4</v>
      </c>
      <c r="I577" s="10" t="s">
        <v>28</v>
      </c>
      <c r="J577" s="1">
        <v>45584</v>
      </c>
      <c r="K577" s="1">
        <v>45605</v>
      </c>
      <c r="L577" s="25">
        <f ca="1">CLIENTES[[#This Row],[Fecha Vencimiento]]-$J$6</f>
        <v>10</v>
      </c>
      <c r="N577" s="1" t="str">
        <f t="shared" ca="1" si="18"/>
        <v>Al dia</v>
      </c>
      <c r="O577" s="19"/>
      <c r="P577" s="2"/>
      <c r="Q577" s="2">
        <f t="shared" si="17"/>
        <v>0</v>
      </c>
    </row>
    <row r="578" spans="3:17" x14ac:dyDescent="0.25">
      <c r="C578" s="13" t="s">
        <v>1407</v>
      </c>
      <c r="D578" s="13" t="s">
        <v>1408</v>
      </c>
      <c r="E578" s="10">
        <v>1144156608</v>
      </c>
      <c r="F578" t="s">
        <v>26</v>
      </c>
      <c r="G578" t="s">
        <v>1409</v>
      </c>
      <c r="H578" s="14">
        <v>1</v>
      </c>
      <c r="I578" s="10" t="s">
        <v>28</v>
      </c>
      <c r="J578" s="1">
        <v>45569</v>
      </c>
      <c r="K578" s="1">
        <v>45600</v>
      </c>
      <c r="L578" s="25">
        <f ca="1">CLIENTES[[#This Row],[Fecha Vencimiento]]-$J$6</f>
        <v>5</v>
      </c>
      <c r="N578" s="1" t="str">
        <f t="shared" ca="1" si="18"/>
        <v>Al dia</v>
      </c>
      <c r="O578" s="19">
        <v>45569</v>
      </c>
      <c r="P578" s="2"/>
      <c r="Q578" s="2">
        <f t="shared" si="17"/>
        <v>-45569</v>
      </c>
    </row>
    <row r="579" spans="3:17" x14ac:dyDescent="0.25">
      <c r="C579" s="13" t="s">
        <v>1407</v>
      </c>
      <c r="D579" s="13" t="s">
        <v>1408</v>
      </c>
      <c r="E579" s="10">
        <v>1144156608</v>
      </c>
      <c r="F579" t="s">
        <v>35</v>
      </c>
      <c r="G579" t="s">
        <v>1410</v>
      </c>
      <c r="H579" s="14">
        <v>1</v>
      </c>
      <c r="I579" s="10" t="s">
        <v>28</v>
      </c>
      <c r="J579" s="1">
        <v>45569</v>
      </c>
      <c r="K579" s="1">
        <v>45600</v>
      </c>
      <c r="L579" s="25">
        <f ca="1">CLIENTES[[#This Row],[Fecha Vencimiento]]-$J$6</f>
        <v>5</v>
      </c>
      <c r="N579" s="1" t="str">
        <f t="shared" ca="1" si="18"/>
        <v>Al dia</v>
      </c>
      <c r="O579" s="19">
        <v>45569</v>
      </c>
      <c r="P579" s="2"/>
      <c r="Q579" s="2">
        <f t="shared" si="17"/>
        <v>-45569</v>
      </c>
    </row>
    <row r="580" spans="3:17" x14ac:dyDescent="0.25">
      <c r="C580" s="13" t="s">
        <v>1407</v>
      </c>
      <c r="D580" s="13" t="s">
        <v>1408</v>
      </c>
      <c r="E580" s="10">
        <v>1144156608</v>
      </c>
      <c r="F580" t="s">
        <v>35</v>
      </c>
      <c r="G580" t="s">
        <v>1411</v>
      </c>
      <c r="H580" s="14">
        <v>1</v>
      </c>
      <c r="I580" s="10" t="s">
        <v>28</v>
      </c>
      <c r="J580" s="1">
        <v>45569</v>
      </c>
      <c r="K580" s="1">
        <v>45600</v>
      </c>
      <c r="L580" s="25">
        <f ca="1">CLIENTES[[#This Row],[Fecha Vencimiento]]-$J$6</f>
        <v>5</v>
      </c>
      <c r="N580" s="1" t="str">
        <f t="shared" ca="1" si="18"/>
        <v>Al dia</v>
      </c>
      <c r="O580" s="19">
        <v>45569</v>
      </c>
      <c r="P580" s="2"/>
      <c r="Q580" s="2">
        <f t="shared" si="17"/>
        <v>-45569</v>
      </c>
    </row>
    <row r="581" spans="3:17" x14ac:dyDescent="0.25">
      <c r="C581" s="13" t="s">
        <v>1407</v>
      </c>
      <c r="D581" s="13" t="s">
        <v>1408</v>
      </c>
      <c r="E581" s="10">
        <v>1144156608</v>
      </c>
      <c r="F581" t="s">
        <v>35</v>
      </c>
      <c r="G581" t="s">
        <v>1412</v>
      </c>
      <c r="H581" s="14">
        <v>1</v>
      </c>
      <c r="I581" s="10" t="s">
        <v>28</v>
      </c>
      <c r="J581" s="1">
        <v>45581</v>
      </c>
      <c r="K581" s="1">
        <v>45612</v>
      </c>
      <c r="L581" s="25">
        <f ca="1">CLIENTES[[#This Row],[Fecha Vencimiento]]-$J$6</f>
        <v>17</v>
      </c>
      <c r="N581" s="1" t="str">
        <f t="shared" ca="1" si="18"/>
        <v>Al dia</v>
      </c>
      <c r="O581" s="19">
        <v>45581</v>
      </c>
      <c r="P581" s="2"/>
      <c r="Q581" s="2">
        <f t="shared" si="17"/>
        <v>-45581</v>
      </c>
    </row>
    <row r="582" spans="3:17" x14ac:dyDescent="0.25">
      <c r="C582" s="13" t="s">
        <v>1413</v>
      </c>
      <c r="D582" s="13" t="s">
        <v>1414</v>
      </c>
      <c r="E582" s="10">
        <v>1167222242</v>
      </c>
      <c r="F582" t="s">
        <v>35</v>
      </c>
      <c r="G582" t="s">
        <v>1415</v>
      </c>
      <c r="H582" s="14">
        <v>4</v>
      </c>
      <c r="I582" s="10" t="s">
        <v>28</v>
      </c>
      <c r="J582" s="1">
        <v>45573</v>
      </c>
      <c r="K582" s="1">
        <v>45609</v>
      </c>
      <c r="L582" s="25">
        <f ca="1">CLIENTES[[#This Row],[Fecha Vencimiento]]-$J$6</f>
        <v>14</v>
      </c>
      <c r="N582" s="1" t="str">
        <f t="shared" ca="1" si="18"/>
        <v>Al dia</v>
      </c>
      <c r="O582" s="19"/>
      <c r="P582" s="2"/>
      <c r="Q582" s="2">
        <f t="shared" si="17"/>
        <v>0</v>
      </c>
    </row>
    <row r="583" spans="3:17" x14ac:dyDescent="0.25">
      <c r="C583" s="13" t="s">
        <v>1416</v>
      </c>
      <c r="D583" s="13" t="s">
        <v>1020</v>
      </c>
      <c r="E583" s="10">
        <v>1121635753</v>
      </c>
      <c r="F583" t="s">
        <v>35</v>
      </c>
      <c r="G583" t="s">
        <v>1417</v>
      </c>
      <c r="H583" s="14">
        <v>3</v>
      </c>
      <c r="I583" s="10" t="s">
        <v>28</v>
      </c>
      <c r="J583" s="1">
        <v>45583</v>
      </c>
      <c r="K583" s="1">
        <v>45613</v>
      </c>
      <c r="L583" s="25">
        <f ca="1">CLIENTES[[#This Row],[Fecha Vencimiento]]-$J$6</f>
        <v>18</v>
      </c>
      <c r="N583" s="1" t="str">
        <f t="shared" ca="1" si="18"/>
        <v>Al dia</v>
      </c>
      <c r="O583" s="19"/>
      <c r="P583" s="2"/>
      <c r="Q583" s="2">
        <f t="shared" si="17"/>
        <v>0</v>
      </c>
    </row>
    <row r="584" spans="3:17" x14ac:dyDescent="0.25">
      <c r="C584" s="13" t="s">
        <v>1418</v>
      </c>
      <c r="D584" s="13" t="s">
        <v>1419</v>
      </c>
      <c r="E584" s="10">
        <v>1126204489</v>
      </c>
      <c r="F584" t="s">
        <v>35</v>
      </c>
      <c r="G584" t="s">
        <v>1420</v>
      </c>
      <c r="H584" s="14">
        <v>1</v>
      </c>
      <c r="I584" s="10" t="s">
        <v>28</v>
      </c>
      <c r="J584" s="1">
        <v>45551</v>
      </c>
      <c r="K584" s="1">
        <v>45581</v>
      </c>
      <c r="L584" s="25">
        <f ca="1">CLIENTES[[#This Row],[Fecha Vencimiento]]-$J$6</f>
        <v>-14</v>
      </c>
      <c r="N584" s="1" t="str">
        <f t="shared" ca="1" si="18"/>
        <v>Vencido</v>
      </c>
      <c r="O584" s="19">
        <v>45551</v>
      </c>
      <c r="P584" s="2"/>
      <c r="Q584" s="2">
        <f t="shared" ref="Q584:Q647" si="19">P584-O584</f>
        <v>-45551</v>
      </c>
    </row>
    <row r="585" spans="3:17" x14ac:dyDescent="0.25">
      <c r="C585" s="13" t="s">
        <v>1421</v>
      </c>
      <c r="D585" s="13" t="s">
        <v>1422</v>
      </c>
      <c r="E585" s="10" t="s">
        <v>3121</v>
      </c>
      <c r="F585" t="s">
        <v>35</v>
      </c>
      <c r="G585" t="s">
        <v>1423</v>
      </c>
      <c r="H585" s="14">
        <v>4</v>
      </c>
      <c r="I585" s="10" t="s">
        <v>28</v>
      </c>
      <c r="J585" s="1">
        <v>45577</v>
      </c>
      <c r="K585" s="1">
        <v>45607</v>
      </c>
      <c r="L585" s="25">
        <f ca="1">CLIENTES[[#This Row],[Fecha Vencimiento]]-$J$6</f>
        <v>12</v>
      </c>
      <c r="N585" s="1" t="str">
        <f t="shared" ca="1" si="18"/>
        <v>Al dia</v>
      </c>
      <c r="O585" s="19"/>
      <c r="P585" s="2"/>
      <c r="Q585" s="2">
        <f t="shared" si="19"/>
        <v>0</v>
      </c>
    </row>
    <row r="586" spans="3:17" x14ac:dyDescent="0.25">
      <c r="C586" s="13" t="s">
        <v>1424</v>
      </c>
      <c r="D586" s="13" t="s">
        <v>1425</v>
      </c>
      <c r="E586" s="10">
        <v>1144773570</v>
      </c>
      <c r="F586" t="s">
        <v>35</v>
      </c>
      <c r="G586" t="s">
        <v>1426</v>
      </c>
      <c r="H586" s="14">
        <v>1</v>
      </c>
      <c r="I586" s="10" t="s">
        <v>28</v>
      </c>
      <c r="J586" s="1">
        <v>45563</v>
      </c>
      <c r="K586" s="1">
        <v>45593</v>
      </c>
      <c r="L586" s="25">
        <f ca="1">CLIENTES[[#This Row],[Fecha Vencimiento]]-$J$6</f>
        <v>-2</v>
      </c>
      <c r="N586" s="1" t="str">
        <f t="shared" ca="1" si="18"/>
        <v>Vencido</v>
      </c>
      <c r="O586" s="19">
        <v>45563</v>
      </c>
      <c r="P586" s="2"/>
      <c r="Q586" s="2">
        <f t="shared" si="19"/>
        <v>-45563</v>
      </c>
    </row>
    <row r="587" spans="3:17" x14ac:dyDescent="0.25">
      <c r="C587" s="13" t="s">
        <v>1427</v>
      </c>
      <c r="D587" s="13" t="s">
        <v>1428</v>
      </c>
      <c r="E587" s="10">
        <v>1164260246</v>
      </c>
      <c r="F587" t="s">
        <v>35</v>
      </c>
      <c r="G587" t="s">
        <v>1429</v>
      </c>
      <c r="H587" s="14">
        <v>7</v>
      </c>
      <c r="I587" s="10" t="s">
        <v>28</v>
      </c>
      <c r="J587" s="1">
        <v>45575</v>
      </c>
      <c r="K587" s="1">
        <v>45606</v>
      </c>
      <c r="L587" s="25">
        <f ca="1">CLIENTES[[#This Row],[Fecha Vencimiento]]-$J$6</f>
        <v>11</v>
      </c>
      <c r="N587" s="1" t="str">
        <f t="shared" ca="1" si="18"/>
        <v>Al dia</v>
      </c>
      <c r="O587" s="19"/>
      <c r="P587" s="2"/>
      <c r="Q587" s="2">
        <f t="shared" si="19"/>
        <v>0</v>
      </c>
    </row>
    <row r="588" spans="3:17" x14ac:dyDescent="0.25">
      <c r="C588" s="13" t="s">
        <v>1430</v>
      </c>
      <c r="D588" s="13" t="s">
        <v>1428</v>
      </c>
      <c r="E588" s="10">
        <v>1127826146</v>
      </c>
      <c r="F588" t="s">
        <v>35</v>
      </c>
      <c r="G588" t="s">
        <v>1431</v>
      </c>
      <c r="H588" s="14">
        <v>7</v>
      </c>
      <c r="I588" s="10" t="s">
        <v>28</v>
      </c>
      <c r="J588" s="1">
        <v>45575</v>
      </c>
      <c r="K588" s="1">
        <v>45606</v>
      </c>
      <c r="L588" s="25">
        <f ca="1">CLIENTES[[#This Row],[Fecha Vencimiento]]-$J$6</f>
        <v>11</v>
      </c>
      <c r="N588" s="1" t="str">
        <f t="shared" ca="1" si="18"/>
        <v>Al dia</v>
      </c>
      <c r="O588" s="19"/>
      <c r="P588" s="2"/>
      <c r="Q588" s="2">
        <f t="shared" si="19"/>
        <v>0</v>
      </c>
    </row>
    <row r="589" spans="3:17" x14ac:dyDescent="0.25">
      <c r="C589" s="13" t="s">
        <v>1432</v>
      </c>
      <c r="D589" s="13" t="s">
        <v>172</v>
      </c>
      <c r="E589" s="10" t="s">
        <v>3108</v>
      </c>
      <c r="F589" t="s">
        <v>35</v>
      </c>
      <c r="G589" t="s">
        <v>1433</v>
      </c>
      <c r="H589" s="14">
        <v>3</v>
      </c>
      <c r="I589" s="10" t="s">
        <v>28</v>
      </c>
      <c r="J589" s="1">
        <v>45554</v>
      </c>
      <c r="K589" s="1">
        <v>45582</v>
      </c>
      <c r="L589" s="25">
        <f ca="1">CLIENTES[[#This Row],[Fecha Vencimiento]]-$J$6</f>
        <v>-13</v>
      </c>
      <c r="N589" s="1" t="str">
        <f t="shared" ca="1" si="18"/>
        <v>Vencido</v>
      </c>
      <c r="O589" s="19"/>
      <c r="P589" s="2"/>
      <c r="Q589" s="2">
        <f t="shared" si="19"/>
        <v>0</v>
      </c>
    </row>
    <row r="590" spans="3:17" x14ac:dyDescent="0.25">
      <c r="C590" s="13" t="s">
        <v>1432</v>
      </c>
      <c r="D590" s="13" t="s">
        <v>1434</v>
      </c>
      <c r="E590" s="10" t="s">
        <v>3107</v>
      </c>
      <c r="F590" t="s">
        <v>77</v>
      </c>
      <c r="G590" t="s">
        <v>1435</v>
      </c>
      <c r="H590" s="14">
        <v>2</v>
      </c>
      <c r="I590" s="10" t="s">
        <v>79</v>
      </c>
      <c r="J590" s="1">
        <v>45518</v>
      </c>
      <c r="K590" s="1">
        <v>45545</v>
      </c>
      <c r="L590" s="25">
        <f ca="1">CLIENTES[[#This Row],[Fecha Vencimiento]]-$J$6</f>
        <v>-50</v>
      </c>
      <c r="N590" s="1" t="str">
        <f t="shared" ca="1" si="18"/>
        <v>Vencido</v>
      </c>
      <c r="O590" s="19"/>
      <c r="P590" s="2"/>
      <c r="Q590" s="2">
        <f t="shared" si="19"/>
        <v>0</v>
      </c>
    </row>
    <row r="591" spans="3:17" x14ac:dyDescent="0.25">
      <c r="C591" s="13" t="s">
        <v>1432</v>
      </c>
      <c r="D591" s="13" t="s">
        <v>1434</v>
      </c>
      <c r="F591" t="s">
        <v>232</v>
      </c>
      <c r="G591" t="s">
        <v>1435</v>
      </c>
      <c r="H591" s="14">
        <v>1</v>
      </c>
      <c r="I591" s="10" t="s">
        <v>183</v>
      </c>
      <c r="J591" s="1">
        <v>45548</v>
      </c>
      <c r="K591" s="1">
        <v>45578</v>
      </c>
      <c r="L591" s="25">
        <f ca="1">CLIENTES[[#This Row],[Fecha Vencimiento]]-$J$6</f>
        <v>-17</v>
      </c>
      <c r="N591" s="1" t="str">
        <f t="shared" ca="1" si="18"/>
        <v>Vencido</v>
      </c>
      <c r="O591" s="19">
        <v>45548</v>
      </c>
      <c r="P591" s="2"/>
      <c r="Q591" s="2">
        <f t="shared" si="19"/>
        <v>-45548</v>
      </c>
    </row>
    <row r="592" spans="3:17" x14ac:dyDescent="0.25">
      <c r="C592" s="13" t="s">
        <v>1432</v>
      </c>
      <c r="D592" s="13" t="s">
        <v>1436</v>
      </c>
      <c r="E592" s="10" t="s">
        <v>2931</v>
      </c>
      <c r="F592" t="s">
        <v>35</v>
      </c>
      <c r="G592" t="s">
        <v>1437</v>
      </c>
      <c r="H592" s="14">
        <v>5</v>
      </c>
      <c r="I592" s="10" t="s">
        <v>28</v>
      </c>
      <c r="J592" s="1">
        <v>45581</v>
      </c>
      <c r="K592" s="1">
        <v>45612</v>
      </c>
      <c r="L592" s="25">
        <f ca="1">CLIENTES[[#This Row],[Fecha Vencimiento]]-$J$6</f>
        <v>17</v>
      </c>
      <c r="N592" s="1" t="str">
        <f t="shared" ca="1" si="18"/>
        <v>Al dia</v>
      </c>
      <c r="O592" s="19"/>
      <c r="P592" s="2"/>
      <c r="Q592" s="2">
        <f t="shared" si="19"/>
        <v>0</v>
      </c>
    </row>
    <row r="593" spans="3:17" x14ac:dyDescent="0.25">
      <c r="C593" s="13" t="s">
        <v>1438</v>
      </c>
      <c r="D593" s="13" t="s">
        <v>1439</v>
      </c>
      <c r="E593" s="10" t="s">
        <v>2931</v>
      </c>
      <c r="F593" t="s">
        <v>35</v>
      </c>
      <c r="G593" t="s">
        <v>1440</v>
      </c>
      <c r="H593" s="14">
        <v>5</v>
      </c>
      <c r="I593" s="10" t="s">
        <v>28</v>
      </c>
      <c r="J593" s="1">
        <v>45596</v>
      </c>
      <c r="K593" s="1">
        <v>45580</v>
      </c>
      <c r="L593" s="25">
        <f ca="1">CLIENTES[[#This Row],[Fecha Vencimiento]]-$J$6</f>
        <v>-15</v>
      </c>
      <c r="N593" s="1" t="str">
        <f t="shared" ca="1" si="18"/>
        <v>Vencido</v>
      </c>
      <c r="O593" s="19"/>
      <c r="P593" s="2"/>
      <c r="Q593" s="2">
        <f t="shared" si="19"/>
        <v>0</v>
      </c>
    </row>
    <row r="594" spans="3:17" x14ac:dyDescent="0.25">
      <c r="C594" s="13" t="s">
        <v>1441</v>
      </c>
      <c r="D594" s="13" t="s">
        <v>1442</v>
      </c>
      <c r="E594" s="10">
        <v>1133614969</v>
      </c>
      <c r="F594" t="s">
        <v>35</v>
      </c>
      <c r="G594" t="s">
        <v>1443</v>
      </c>
      <c r="H594" s="14">
        <v>5</v>
      </c>
      <c r="I594" s="10" t="s">
        <v>28</v>
      </c>
      <c r="J594" s="1">
        <v>45587</v>
      </c>
      <c r="K594" s="1">
        <v>45589</v>
      </c>
      <c r="N594" s="1" t="str">
        <f t="shared" si="18"/>
        <v>Vence hoy</v>
      </c>
      <c r="O594" s="19"/>
      <c r="P594" s="2"/>
      <c r="Q594" s="2">
        <f t="shared" si="19"/>
        <v>0</v>
      </c>
    </row>
    <row r="595" spans="3:17" x14ac:dyDescent="0.25">
      <c r="C595" s="13" t="s">
        <v>1444</v>
      </c>
      <c r="D595" s="13" t="s">
        <v>1445</v>
      </c>
      <c r="E595" s="10" t="s">
        <v>2931</v>
      </c>
      <c r="F595" t="s">
        <v>35</v>
      </c>
      <c r="G595" t="s">
        <v>1446</v>
      </c>
      <c r="H595" s="14">
        <v>4</v>
      </c>
      <c r="I595" s="10" t="s">
        <v>28</v>
      </c>
      <c r="J595" s="1">
        <v>45591</v>
      </c>
      <c r="K595" s="1">
        <v>45622</v>
      </c>
      <c r="L595" s="25">
        <f ca="1">CLIENTES[[#This Row],[Fecha Vencimiento]]-$J$6</f>
        <v>27</v>
      </c>
      <c r="N595" s="1" t="str">
        <f t="shared" ca="1" si="18"/>
        <v>Al dia</v>
      </c>
      <c r="O595" s="19"/>
      <c r="P595" s="2"/>
      <c r="Q595" s="2">
        <f t="shared" si="19"/>
        <v>0</v>
      </c>
    </row>
    <row r="596" spans="3:17" x14ac:dyDescent="0.25">
      <c r="C596" s="13" t="s">
        <v>1447</v>
      </c>
      <c r="D596" s="13" t="s">
        <v>1448</v>
      </c>
      <c r="E596" s="10">
        <v>1162683147</v>
      </c>
      <c r="F596" t="s">
        <v>35</v>
      </c>
      <c r="G596" t="s">
        <v>1449</v>
      </c>
      <c r="H596" s="14">
        <v>3</v>
      </c>
      <c r="I596" s="10" t="s">
        <v>28</v>
      </c>
      <c r="J596" s="1">
        <v>45581</v>
      </c>
      <c r="K596" s="1">
        <v>45612</v>
      </c>
      <c r="L596" s="25">
        <f ca="1">CLIENTES[[#This Row],[Fecha Vencimiento]]-$J$6</f>
        <v>17</v>
      </c>
      <c r="N596" s="1" t="str">
        <f t="shared" ca="1" si="18"/>
        <v>Al dia</v>
      </c>
      <c r="O596" s="19"/>
      <c r="P596" s="2"/>
      <c r="Q596" s="2">
        <f t="shared" si="19"/>
        <v>0</v>
      </c>
    </row>
    <row r="597" spans="3:17" x14ac:dyDescent="0.25">
      <c r="C597" s="13" t="s">
        <v>1450</v>
      </c>
      <c r="D597" s="13" t="s">
        <v>1451</v>
      </c>
      <c r="E597" s="10">
        <v>1165233166</v>
      </c>
      <c r="F597" t="s">
        <v>35</v>
      </c>
      <c r="G597" t="s">
        <v>1452</v>
      </c>
      <c r="H597" s="14">
        <v>3</v>
      </c>
      <c r="I597" s="10" t="s">
        <v>28</v>
      </c>
      <c r="J597" s="1">
        <v>45584</v>
      </c>
      <c r="K597" s="1">
        <v>45599</v>
      </c>
      <c r="L597" s="25">
        <f ca="1">CLIENTES[[#This Row],[Fecha Vencimiento]]-$J$6</f>
        <v>4</v>
      </c>
      <c r="N597" s="1" t="str">
        <f t="shared" ca="1" si="18"/>
        <v>Al dia</v>
      </c>
      <c r="O597" s="19"/>
      <c r="P597" s="2"/>
      <c r="Q597" s="2">
        <f t="shared" si="19"/>
        <v>0</v>
      </c>
    </row>
    <row r="598" spans="3:17" x14ac:dyDescent="0.25">
      <c r="C598" s="13" t="s">
        <v>1453</v>
      </c>
      <c r="D598" s="13" t="s">
        <v>1454</v>
      </c>
      <c r="E598" s="10" t="s">
        <v>3122</v>
      </c>
      <c r="F598" t="s">
        <v>35</v>
      </c>
      <c r="G598" t="s">
        <v>1455</v>
      </c>
      <c r="H598" s="14">
        <v>5</v>
      </c>
      <c r="I598" s="10" t="s">
        <v>28</v>
      </c>
      <c r="J598" s="1">
        <v>45569</v>
      </c>
      <c r="K598" s="1">
        <v>45600</v>
      </c>
      <c r="L598" s="25">
        <f ca="1">CLIENTES[[#This Row],[Fecha Vencimiento]]-$J$6</f>
        <v>5</v>
      </c>
      <c r="N598" s="1" t="str">
        <f t="shared" ca="1" si="18"/>
        <v>Al dia</v>
      </c>
      <c r="O598" s="19"/>
      <c r="P598" s="2"/>
      <c r="Q598" s="2">
        <f t="shared" si="19"/>
        <v>0</v>
      </c>
    </row>
    <row r="599" spans="3:17" x14ac:dyDescent="0.25">
      <c r="C599" s="13" t="s">
        <v>1456</v>
      </c>
      <c r="D599" s="13" t="s">
        <v>1457</v>
      </c>
      <c r="E599" s="10">
        <v>1168652661</v>
      </c>
      <c r="F599" t="s">
        <v>35</v>
      </c>
      <c r="G599" t="s">
        <v>1458</v>
      </c>
      <c r="H599" s="14">
        <v>4</v>
      </c>
      <c r="I599" s="10" t="s">
        <v>28</v>
      </c>
      <c r="J599" s="1">
        <v>45581</v>
      </c>
      <c r="K599" s="1">
        <v>45612</v>
      </c>
      <c r="L599" s="25">
        <f ca="1">CLIENTES[[#This Row],[Fecha Vencimiento]]-$J$6</f>
        <v>17</v>
      </c>
      <c r="N599" s="1" t="str">
        <f t="shared" ca="1" si="18"/>
        <v>Al dia</v>
      </c>
      <c r="O599" s="19"/>
      <c r="P599" s="2"/>
      <c r="Q599" s="2">
        <f t="shared" si="19"/>
        <v>0</v>
      </c>
    </row>
    <row r="600" spans="3:17" x14ac:dyDescent="0.25">
      <c r="C600" s="13" t="s">
        <v>1456</v>
      </c>
      <c r="D600" s="13" t="s">
        <v>1457</v>
      </c>
      <c r="E600" s="10">
        <v>1168652661</v>
      </c>
      <c r="F600" t="s">
        <v>35</v>
      </c>
      <c r="G600" t="s">
        <v>1459</v>
      </c>
      <c r="H600" s="14">
        <v>4</v>
      </c>
      <c r="I600" s="10" t="s">
        <v>28</v>
      </c>
      <c r="J600" s="1">
        <v>45581</v>
      </c>
      <c r="K600" s="1">
        <v>45612</v>
      </c>
      <c r="L600" s="25">
        <f ca="1">CLIENTES[[#This Row],[Fecha Vencimiento]]-$J$6</f>
        <v>17</v>
      </c>
      <c r="N600" s="1" t="str">
        <f t="shared" ca="1" si="18"/>
        <v>Al dia</v>
      </c>
      <c r="O600" s="19"/>
      <c r="P600" s="2"/>
      <c r="Q600" s="2">
        <f t="shared" si="19"/>
        <v>0</v>
      </c>
    </row>
    <row r="601" spans="3:17" x14ac:dyDescent="0.25">
      <c r="C601" s="13" t="s">
        <v>1460</v>
      </c>
      <c r="D601" s="13" t="s">
        <v>1461</v>
      </c>
      <c r="F601" t="s">
        <v>35</v>
      </c>
      <c r="G601" t="s">
        <v>1462</v>
      </c>
      <c r="H601" s="14">
        <v>6</v>
      </c>
      <c r="I601" s="10" t="s">
        <v>28</v>
      </c>
      <c r="J601" s="1">
        <v>45582</v>
      </c>
      <c r="K601" s="1">
        <v>45606</v>
      </c>
      <c r="L601" s="25">
        <f ca="1">CLIENTES[[#This Row],[Fecha Vencimiento]]-$J$6</f>
        <v>11</v>
      </c>
      <c r="N601" s="1" t="str">
        <f t="shared" ca="1" si="18"/>
        <v>Al dia</v>
      </c>
      <c r="O601" s="19"/>
      <c r="P601" s="2"/>
      <c r="Q601" s="2">
        <f t="shared" si="19"/>
        <v>0</v>
      </c>
    </row>
    <row r="602" spans="3:17" x14ac:dyDescent="0.25">
      <c r="C602" s="13" t="s">
        <v>1463</v>
      </c>
      <c r="D602" s="13" t="s">
        <v>1464</v>
      </c>
      <c r="F602" t="s">
        <v>159</v>
      </c>
      <c r="G602" t="s">
        <v>1465</v>
      </c>
      <c r="H602" s="14">
        <v>1</v>
      </c>
      <c r="I602" s="10" t="s">
        <v>183</v>
      </c>
      <c r="J602" s="1">
        <v>45462</v>
      </c>
      <c r="K602" s="1">
        <v>45492</v>
      </c>
      <c r="L602" s="25">
        <f ca="1">CLIENTES[[#This Row],[Fecha Vencimiento]]-$J$6</f>
        <v>-103</v>
      </c>
      <c r="N602" s="1" t="str">
        <f t="shared" ca="1" si="18"/>
        <v>Vencido</v>
      </c>
      <c r="O602" s="19">
        <v>45462</v>
      </c>
      <c r="P602" s="2"/>
      <c r="Q602" s="2">
        <f t="shared" si="19"/>
        <v>-45462</v>
      </c>
    </row>
    <row r="603" spans="3:17" x14ac:dyDescent="0.25">
      <c r="C603" s="13" t="s">
        <v>1466</v>
      </c>
      <c r="D603" s="13" t="s">
        <v>1467</v>
      </c>
      <c r="F603" t="s">
        <v>35</v>
      </c>
      <c r="G603" t="s">
        <v>1468</v>
      </c>
      <c r="I603" s="10" t="s">
        <v>28</v>
      </c>
      <c r="J603" s="1">
        <v>45491</v>
      </c>
      <c r="K603" s="1">
        <v>45522</v>
      </c>
      <c r="L603" s="25">
        <f ca="1">CLIENTES[[#This Row],[Fecha Vencimiento]]-$J$6</f>
        <v>-73</v>
      </c>
      <c r="N603" s="1" t="str">
        <f t="shared" ca="1" si="18"/>
        <v>Vencido</v>
      </c>
      <c r="O603" s="19"/>
      <c r="P603" s="2"/>
      <c r="Q603" s="2">
        <f t="shared" si="19"/>
        <v>0</v>
      </c>
    </row>
    <row r="604" spans="3:17" x14ac:dyDescent="0.25">
      <c r="C604" s="13" t="s">
        <v>1469</v>
      </c>
      <c r="D604" s="13" t="s">
        <v>300</v>
      </c>
      <c r="F604" t="s">
        <v>35</v>
      </c>
      <c r="G604" t="s">
        <v>1470</v>
      </c>
      <c r="I604" s="10" t="s">
        <v>28</v>
      </c>
      <c r="J604" s="1">
        <v>45453</v>
      </c>
      <c r="K604" s="1">
        <v>45483</v>
      </c>
      <c r="L604" s="25">
        <f ca="1">CLIENTES[[#This Row],[Fecha Vencimiento]]-$J$6</f>
        <v>-112</v>
      </c>
      <c r="N604" s="1" t="str">
        <f t="shared" ca="1" si="18"/>
        <v>Vencido</v>
      </c>
      <c r="O604" s="19"/>
      <c r="P604" s="2"/>
      <c r="Q604" s="2">
        <f t="shared" si="19"/>
        <v>0</v>
      </c>
    </row>
    <row r="605" spans="3:17" x14ac:dyDescent="0.25">
      <c r="C605" s="13" t="s">
        <v>1469</v>
      </c>
      <c r="D605" s="13" t="s">
        <v>300</v>
      </c>
      <c r="E605" s="10">
        <v>1144773864</v>
      </c>
      <c r="F605" t="s">
        <v>35</v>
      </c>
      <c r="G605" t="s">
        <v>1471</v>
      </c>
      <c r="H605" s="14">
        <v>1</v>
      </c>
      <c r="I605" s="10" t="s">
        <v>28</v>
      </c>
      <c r="J605" s="1">
        <v>45560</v>
      </c>
      <c r="K605" s="1">
        <v>45590</v>
      </c>
      <c r="L605" s="25">
        <f ca="1">CLIENTES[[#This Row],[Fecha Vencimiento]]-$J$6</f>
        <v>-5</v>
      </c>
      <c r="M605" s="1"/>
      <c r="N605" s="1" t="str">
        <f t="shared" ca="1" si="18"/>
        <v>Vencido</v>
      </c>
      <c r="O605" s="19">
        <v>45560</v>
      </c>
      <c r="P605" s="2"/>
      <c r="Q605" s="2">
        <f t="shared" si="19"/>
        <v>-45560</v>
      </c>
    </row>
    <row r="606" spans="3:17" x14ac:dyDescent="0.25">
      <c r="C606" s="13" t="s">
        <v>1472</v>
      </c>
      <c r="D606" s="13" t="s">
        <v>1473</v>
      </c>
      <c r="E606" s="10" t="s">
        <v>2931</v>
      </c>
      <c r="F606" t="s">
        <v>35</v>
      </c>
      <c r="G606" t="s">
        <v>1474</v>
      </c>
      <c r="H606" s="14">
        <v>2</v>
      </c>
      <c r="I606" s="10" t="s">
        <v>28</v>
      </c>
      <c r="J606" s="1">
        <v>45540</v>
      </c>
      <c r="K606" s="1">
        <v>45579</v>
      </c>
      <c r="L606" s="25">
        <f ca="1">CLIENTES[[#This Row],[Fecha Vencimiento]]-$J$6</f>
        <v>-16</v>
      </c>
      <c r="N606" s="1" t="str">
        <f t="shared" ca="1" si="18"/>
        <v>Vencido</v>
      </c>
      <c r="O606" s="19"/>
      <c r="P606" s="2"/>
      <c r="Q606" s="2">
        <f t="shared" si="19"/>
        <v>0</v>
      </c>
    </row>
    <row r="607" spans="3:17" x14ac:dyDescent="0.25">
      <c r="C607" s="13" t="s">
        <v>1475</v>
      </c>
      <c r="D607" s="13" t="s">
        <v>1476</v>
      </c>
      <c r="E607" s="10">
        <v>1166406219</v>
      </c>
      <c r="F607" t="s">
        <v>35</v>
      </c>
      <c r="G607" t="s">
        <v>1477</v>
      </c>
      <c r="H607" s="14">
        <v>1</v>
      </c>
      <c r="I607" s="10" t="s">
        <v>28</v>
      </c>
      <c r="J607" s="1">
        <v>45572</v>
      </c>
      <c r="K607" s="1">
        <v>45603</v>
      </c>
      <c r="L607" s="25">
        <f ca="1">CLIENTES[[#This Row],[Fecha Vencimiento]]-$J$6</f>
        <v>8</v>
      </c>
      <c r="N607" s="1" t="str">
        <f t="shared" ca="1" si="18"/>
        <v>Al dia</v>
      </c>
      <c r="O607" s="19">
        <v>45572</v>
      </c>
      <c r="P607" s="2"/>
      <c r="Q607" s="2">
        <f t="shared" si="19"/>
        <v>-45572</v>
      </c>
    </row>
    <row r="608" spans="3:17" x14ac:dyDescent="0.25">
      <c r="C608" s="13" t="s">
        <v>1478</v>
      </c>
      <c r="D608" s="13" t="s">
        <v>300</v>
      </c>
      <c r="E608" s="10">
        <v>1153180176</v>
      </c>
      <c r="F608" t="s">
        <v>35</v>
      </c>
      <c r="G608" t="s">
        <v>1479</v>
      </c>
      <c r="H608" s="14">
        <v>3</v>
      </c>
      <c r="I608" s="10" t="s">
        <v>28</v>
      </c>
      <c r="J608" s="1">
        <v>45581</v>
      </c>
      <c r="K608" s="1">
        <v>45611</v>
      </c>
      <c r="L608" s="25">
        <f ca="1">CLIENTES[[#This Row],[Fecha Vencimiento]]-$J$6</f>
        <v>16</v>
      </c>
      <c r="N608" s="1" t="str">
        <f t="shared" ca="1" si="18"/>
        <v>Al dia</v>
      </c>
      <c r="O608" s="19"/>
      <c r="P608" s="2"/>
      <c r="Q608" s="2">
        <f t="shared" si="19"/>
        <v>0</v>
      </c>
    </row>
    <row r="609" spans="3:17" x14ac:dyDescent="0.25">
      <c r="C609" s="13" t="s">
        <v>1480</v>
      </c>
      <c r="D609" s="13" t="s">
        <v>1481</v>
      </c>
      <c r="E609" s="10">
        <v>1554019859</v>
      </c>
      <c r="F609" t="s">
        <v>35</v>
      </c>
      <c r="G609" t="s">
        <v>1482</v>
      </c>
      <c r="H609" s="14">
        <v>4</v>
      </c>
      <c r="I609" s="10" t="s">
        <v>28</v>
      </c>
      <c r="J609" s="1">
        <v>45538</v>
      </c>
      <c r="K609" s="1">
        <v>45556</v>
      </c>
      <c r="L609" s="25">
        <f ca="1">CLIENTES[[#This Row],[Fecha Vencimiento]]-$J$6</f>
        <v>-39</v>
      </c>
      <c r="N609" s="1" t="str">
        <f t="shared" ca="1" si="18"/>
        <v>Vencido</v>
      </c>
      <c r="O609" s="19"/>
      <c r="P609" s="2"/>
      <c r="Q609" s="2">
        <f t="shared" si="19"/>
        <v>0</v>
      </c>
    </row>
    <row r="610" spans="3:17" x14ac:dyDescent="0.25">
      <c r="C610" s="13" t="s">
        <v>1483</v>
      </c>
      <c r="D610" s="13" t="s">
        <v>172</v>
      </c>
      <c r="F610" t="s">
        <v>35</v>
      </c>
      <c r="G610" t="s">
        <v>1484</v>
      </c>
      <c r="I610" s="10" t="s">
        <v>28</v>
      </c>
      <c r="J610" s="1">
        <v>45481</v>
      </c>
      <c r="K610" s="1">
        <v>45512</v>
      </c>
      <c r="L610" s="25">
        <f ca="1">CLIENTES[[#This Row],[Fecha Vencimiento]]-$J$6</f>
        <v>-83</v>
      </c>
      <c r="N610" s="1" t="str">
        <f t="shared" ca="1" si="18"/>
        <v>Vencido</v>
      </c>
      <c r="O610" s="19"/>
      <c r="P610" s="2"/>
      <c r="Q610" s="2">
        <f t="shared" si="19"/>
        <v>0</v>
      </c>
    </row>
    <row r="611" spans="3:17" x14ac:dyDescent="0.25">
      <c r="C611" s="13" t="s">
        <v>1483</v>
      </c>
      <c r="D611" s="13" t="s">
        <v>1485</v>
      </c>
      <c r="E611" s="10">
        <v>1125690443</v>
      </c>
      <c r="F611" t="s">
        <v>35</v>
      </c>
      <c r="G611" t="s">
        <v>1486</v>
      </c>
      <c r="I611" s="10" t="s">
        <v>28</v>
      </c>
      <c r="J611" s="1">
        <v>45523</v>
      </c>
      <c r="K611" s="1">
        <v>45554</v>
      </c>
      <c r="L611" s="25">
        <f ca="1">CLIENTES[[#This Row],[Fecha Vencimiento]]-$J$6</f>
        <v>-41</v>
      </c>
      <c r="N611" s="1" t="str">
        <f t="shared" ca="1" si="18"/>
        <v>Vencido</v>
      </c>
      <c r="O611" s="19"/>
      <c r="P611" s="2"/>
      <c r="Q611" s="2">
        <f t="shared" si="19"/>
        <v>0</v>
      </c>
    </row>
    <row r="612" spans="3:17" x14ac:dyDescent="0.25">
      <c r="C612" s="13" t="s">
        <v>1483</v>
      </c>
      <c r="D612" s="13" t="s">
        <v>1487</v>
      </c>
      <c r="F612" t="s">
        <v>35</v>
      </c>
      <c r="G612" t="s">
        <v>1488</v>
      </c>
      <c r="I612" s="10" t="s">
        <v>28</v>
      </c>
      <c r="J612" s="1">
        <v>45500</v>
      </c>
      <c r="K612" s="1">
        <v>45532</v>
      </c>
      <c r="L612" s="25">
        <f ca="1">CLIENTES[[#This Row],[Fecha Vencimiento]]-$J$6</f>
        <v>-63</v>
      </c>
      <c r="N612" s="1" t="str">
        <f t="shared" ca="1" si="18"/>
        <v>Vencido</v>
      </c>
      <c r="O612" s="19"/>
      <c r="P612" s="2"/>
      <c r="Q612" s="2">
        <f t="shared" si="19"/>
        <v>0</v>
      </c>
    </row>
    <row r="613" spans="3:17" x14ac:dyDescent="0.25">
      <c r="C613" s="13" t="s">
        <v>1483</v>
      </c>
      <c r="D613" s="13" t="s">
        <v>1489</v>
      </c>
      <c r="E613" s="10">
        <v>1168931191</v>
      </c>
      <c r="F613" t="s">
        <v>35</v>
      </c>
      <c r="G613" t="s">
        <v>1490</v>
      </c>
      <c r="H613" s="14">
        <v>5</v>
      </c>
      <c r="I613" s="10" t="s">
        <v>28</v>
      </c>
      <c r="J613" s="1">
        <v>45574</v>
      </c>
      <c r="K613" s="1">
        <v>45601</v>
      </c>
      <c r="L613" s="25">
        <f ca="1">CLIENTES[[#This Row],[Fecha Vencimiento]]-$J$6</f>
        <v>6</v>
      </c>
      <c r="N613" s="1" t="str">
        <f t="shared" ca="1" si="18"/>
        <v>Al dia</v>
      </c>
      <c r="O613" s="19"/>
      <c r="P613" s="2"/>
      <c r="Q613" s="2">
        <f t="shared" si="19"/>
        <v>0</v>
      </c>
    </row>
    <row r="614" spans="3:17" x14ac:dyDescent="0.25">
      <c r="C614" s="13" t="s">
        <v>1483</v>
      </c>
      <c r="D614" s="13" t="s">
        <v>1491</v>
      </c>
      <c r="E614" s="10">
        <v>1134074163</v>
      </c>
      <c r="F614" t="s">
        <v>35</v>
      </c>
      <c r="G614" t="s">
        <v>1492</v>
      </c>
      <c r="H614" s="14">
        <v>6</v>
      </c>
      <c r="I614" s="10" t="s">
        <v>28</v>
      </c>
      <c r="J614" s="1">
        <v>45568</v>
      </c>
      <c r="K614" s="1">
        <v>45599</v>
      </c>
      <c r="L614" s="25">
        <f ca="1">CLIENTES[[#This Row],[Fecha Vencimiento]]-$J$6</f>
        <v>4</v>
      </c>
      <c r="N614" s="1" t="str">
        <f t="shared" ca="1" si="18"/>
        <v>Al dia</v>
      </c>
      <c r="O614" s="19"/>
      <c r="P614" s="2"/>
      <c r="Q614" s="2">
        <f t="shared" si="19"/>
        <v>0</v>
      </c>
    </row>
    <row r="615" spans="3:17" x14ac:dyDescent="0.25">
      <c r="C615" s="13" t="s">
        <v>1483</v>
      </c>
      <c r="D615" s="13" t="s">
        <v>1485</v>
      </c>
      <c r="E615" s="10">
        <v>1133854346</v>
      </c>
      <c r="F615" t="s">
        <v>35</v>
      </c>
      <c r="G615" t="s">
        <v>1493</v>
      </c>
      <c r="H615" s="14">
        <v>2</v>
      </c>
      <c r="I615" s="10" t="s">
        <v>28</v>
      </c>
      <c r="J615" s="1">
        <v>45582</v>
      </c>
      <c r="K615" s="1">
        <v>45613</v>
      </c>
      <c r="L615" s="25">
        <f ca="1">CLIENTES[[#This Row],[Fecha Vencimiento]]-$J$6</f>
        <v>18</v>
      </c>
      <c r="N615" s="1" t="str">
        <f t="shared" ca="1" si="18"/>
        <v>Al dia</v>
      </c>
      <c r="O615" s="19">
        <v>45552</v>
      </c>
      <c r="P615" s="2"/>
      <c r="Q615" s="2">
        <f t="shared" si="19"/>
        <v>-45552</v>
      </c>
    </row>
    <row r="616" spans="3:17" x14ac:dyDescent="0.25">
      <c r="C616" s="13" t="s">
        <v>1494</v>
      </c>
      <c r="D616" s="13" t="s">
        <v>1495</v>
      </c>
      <c r="F616" t="s">
        <v>35</v>
      </c>
      <c r="G616" t="s">
        <v>1496</v>
      </c>
      <c r="I616" s="10" t="s">
        <v>28</v>
      </c>
      <c r="J616" s="1">
        <v>45460</v>
      </c>
      <c r="K616" s="1">
        <v>45490</v>
      </c>
      <c r="L616" s="25">
        <f ca="1">CLIENTES[[#This Row],[Fecha Vencimiento]]-$J$6</f>
        <v>-105</v>
      </c>
      <c r="N616" s="1" t="str">
        <f t="shared" ca="1" si="18"/>
        <v>Vencido</v>
      </c>
      <c r="O616" s="19"/>
      <c r="P616" s="2"/>
      <c r="Q616" s="2">
        <f t="shared" si="19"/>
        <v>0</v>
      </c>
    </row>
    <row r="617" spans="3:17" x14ac:dyDescent="0.25">
      <c r="C617" s="13" t="s">
        <v>1497</v>
      </c>
      <c r="D617" s="13" t="s">
        <v>1498</v>
      </c>
      <c r="E617" s="10">
        <v>1158108809</v>
      </c>
      <c r="F617" t="s">
        <v>159</v>
      </c>
      <c r="G617" t="s">
        <v>1499</v>
      </c>
      <c r="H617" s="14">
        <v>2</v>
      </c>
      <c r="I617" s="10" t="s">
        <v>183</v>
      </c>
      <c r="J617" s="1">
        <v>45547</v>
      </c>
      <c r="K617" s="1">
        <v>45577</v>
      </c>
      <c r="L617" s="25">
        <f ca="1">CLIENTES[[#This Row],[Fecha Vencimiento]]-$J$6</f>
        <v>-18</v>
      </c>
      <c r="N617" s="1" t="str">
        <f t="shared" ca="1" si="18"/>
        <v>Vencido</v>
      </c>
      <c r="O617" s="19"/>
      <c r="P617" s="2"/>
      <c r="Q617" s="2">
        <f t="shared" si="19"/>
        <v>0</v>
      </c>
    </row>
    <row r="618" spans="3:17" x14ac:dyDescent="0.25">
      <c r="C618" s="13" t="s">
        <v>1497</v>
      </c>
      <c r="D618" s="13" t="s">
        <v>1500</v>
      </c>
      <c r="E618" s="10">
        <v>1160339583</v>
      </c>
      <c r="F618" t="s">
        <v>35</v>
      </c>
      <c r="G618" t="s">
        <v>1501</v>
      </c>
      <c r="H618" s="14">
        <v>2</v>
      </c>
      <c r="I618" s="10" t="s">
        <v>28</v>
      </c>
      <c r="J618" s="1">
        <v>45581</v>
      </c>
      <c r="K618" s="1">
        <v>45609</v>
      </c>
      <c r="L618" s="25">
        <f ca="1">CLIENTES[[#This Row],[Fecha Vencimiento]]-$J$6</f>
        <v>14</v>
      </c>
      <c r="N618" s="1" t="str">
        <f t="shared" ca="1" si="18"/>
        <v>Al dia</v>
      </c>
      <c r="O618" s="19">
        <v>45548</v>
      </c>
      <c r="P618" s="2"/>
      <c r="Q618" s="2">
        <f t="shared" si="19"/>
        <v>-45548</v>
      </c>
    </row>
    <row r="619" spans="3:17" x14ac:dyDescent="0.25">
      <c r="C619" s="13" t="s">
        <v>1497</v>
      </c>
      <c r="D619" s="13" t="s">
        <v>1500</v>
      </c>
      <c r="E619" s="10">
        <v>1160339583</v>
      </c>
      <c r="F619" t="s">
        <v>35</v>
      </c>
      <c r="G619" t="s">
        <v>1502</v>
      </c>
      <c r="H619" s="14">
        <v>2</v>
      </c>
      <c r="I619" s="10" t="s">
        <v>28</v>
      </c>
      <c r="J619" s="1">
        <v>45569</v>
      </c>
      <c r="K619" s="1">
        <v>45600</v>
      </c>
      <c r="L619" s="25">
        <f ca="1">CLIENTES[[#This Row],[Fecha Vencimiento]]-$J$6</f>
        <v>5</v>
      </c>
      <c r="N619" s="1" t="str">
        <f t="shared" ca="1" si="18"/>
        <v>Al dia</v>
      </c>
      <c r="O619" s="19"/>
      <c r="P619" s="2"/>
      <c r="Q619" s="2">
        <f t="shared" si="19"/>
        <v>0</v>
      </c>
    </row>
    <row r="620" spans="3:17" x14ac:dyDescent="0.25">
      <c r="C620" s="13" t="s">
        <v>1497</v>
      </c>
      <c r="D620" s="13" t="s">
        <v>1503</v>
      </c>
      <c r="E620" s="10" t="s">
        <v>3122</v>
      </c>
      <c r="F620" t="s">
        <v>35</v>
      </c>
      <c r="G620" t="s">
        <v>1504</v>
      </c>
      <c r="I620" s="10" t="s">
        <v>28</v>
      </c>
      <c r="J620" s="1">
        <v>45506</v>
      </c>
      <c r="K620" s="1">
        <v>45539</v>
      </c>
      <c r="L620" s="25">
        <f ca="1">CLIENTES[[#This Row],[Fecha Vencimiento]]-$J$6</f>
        <v>-56</v>
      </c>
      <c r="N620" s="1" t="str">
        <f t="shared" ca="1" si="18"/>
        <v>Vencido</v>
      </c>
      <c r="O620" s="19"/>
      <c r="P620" s="2"/>
      <c r="Q620" s="2">
        <f t="shared" si="19"/>
        <v>0</v>
      </c>
    </row>
    <row r="621" spans="3:17" x14ac:dyDescent="0.25">
      <c r="C621" s="13" t="s">
        <v>1505</v>
      </c>
      <c r="D621" s="13" t="s">
        <v>1506</v>
      </c>
      <c r="E621" s="10">
        <v>1151519175</v>
      </c>
      <c r="F621" t="s">
        <v>35</v>
      </c>
      <c r="G621" t="s">
        <v>1507</v>
      </c>
      <c r="H621" s="14">
        <v>3</v>
      </c>
      <c r="I621" s="10" t="s">
        <v>28</v>
      </c>
      <c r="J621" s="1">
        <v>45593</v>
      </c>
      <c r="K621" s="1">
        <v>45612</v>
      </c>
      <c r="L621" s="25">
        <f ca="1">CLIENTES[[#This Row],[Fecha Vencimiento]]-$J$6</f>
        <v>17</v>
      </c>
      <c r="N621" s="1" t="str">
        <f t="shared" ca="1" si="18"/>
        <v>Al dia</v>
      </c>
      <c r="O621" s="19"/>
      <c r="P621" s="2"/>
      <c r="Q621" s="2">
        <f t="shared" si="19"/>
        <v>0</v>
      </c>
    </row>
    <row r="622" spans="3:17" x14ac:dyDescent="0.25">
      <c r="C622" s="13" t="s">
        <v>1505</v>
      </c>
      <c r="D622" s="13" t="s">
        <v>1506</v>
      </c>
      <c r="E622" s="10">
        <v>1151519175</v>
      </c>
      <c r="F622" t="s">
        <v>35</v>
      </c>
      <c r="G622" t="s">
        <v>1508</v>
      </c>
      <c r="H622" s="14">
        <v>3</v>
      </c>
      <c r="I622" s="10" t="s">
        <v>28</v>
      </c>
      <c r="J622" s="1">
        <v>45593</v>
      </c>
      <c r="K622" s="1">
        <v>45612</v>
      </c>
      <c r="L622" s="25">
        <f ca="1">CLIENTES[[#This Row],[Fecha Vencimiento]]-$J$6</f>
        <v>17</v>
      </c>
      <c r="N622" s="1" t="str">
        <f t="shared" ca="1" si="18"/>
        <v>Al dia</v>
      </c>
      <c r="O622" s="19"/>
      <c r="P622" s="2"/>
      <c r="Q622" s="2">
        <f t="shared" si="19"/>
        <v>0</v>
      </c>
    </row>
    <row r="623" spans="3:17" x14ac:dyDescent="0.25">
      <c r="C623" s="13" t="s">
        <v>1509</v>
      </c>
      <c r="D623" s="13" t="s">
        <v>1510</v>
      </c>
      <c r="F623" t="s">
        <v>35</v>
      </c>
      <c r="G623" s="1" t="s">
        <v>1511</v>
      </c>
      <c r="I623" s="10" t="s">
        <v>28</v>
      </c>
      <c r="J623" s="1">
        <v>45483</v>
      </c>
      <c r="K623" s="1">
        <v>45515</v>
      </c>
      <c r="L623" s="25">
        <f ca="1">CLIENTES[[#This Row],[Fecha Vencimiento]]-$J$6</f>
        <v>-80</v>
      </c>
      <c r="N623" s="1" t="str">
        <f t="shared" ca="1" si="18"/>
        <v>Vencido</v>
      </c>
      <c r="O623" s="19"/>
      <c r="P623" s="2"/>
      <c r="Q623" s="2">
        <f t="shared" si="19"/>
        <v>0</v>
      </c>
    </row>
    <row r="624" spans="3:17" x14ac:dyDescent="0.25">
      <c r="C624" t="s">
        <v>1512</v>
      </c>
      <c r="D624" t="s">
        <v>1513</v>
      </c>
      <c r="E624" s="10">
        <v>1132473250</v>
      </c>
      <c r="F624" t="s">
        <v>35</v>
      </c>
      <c r="G624" t="s">
        <v>1514</v>
      </c>
      <c r="H624" s="14">
        <v>2</v>
      </c>
      <c r="I624" s="10" t="s">
        <v>28</v>
      </c>
      <c r="J624" s="1">
        <v>45587</v>
      </c>
      <c r="K624" s="1">
        <v>45615</v>
      </c>
      <c r="L624" s="25">
        <f ca="1">CLIENTES[[#This Row],[Fecha Vencimiento]]-$J$6</f>
        <v>20</v>
      </c>
      <c r="N624" s="1" t="str">
        <f t="shared" ca="1" si="18"/>
        <v>Al dia</v>
      </c>
      <c r="O624" s="19">
        <v>45554</v>
      </c>
      <c r="P624" s="2"/>
      <c r="Q624" s="2">
        <f t="shared" si="19"/>
        <v>-45554</v>
      </c>
    </row>
    <row r="625" spans="3:17" x14ac:dyDescent="0.25">
      <c r="C625" s="13" t="s">
        <v>1515</v>
      </c>
      <c r="D625" s="13" t="s">
        <v>1516</v>
      </c>
      <c r="E625" s="10" t="s">
        <v>2931</v>
      </c>
      <c r="F625" t="s">
        <v>35</v>
      </c>
      <c r="G625" s="1" t="s">
        <v>1517</v>
      </c>
      <c r="H625" s="14">
        <v>1</v>
      </c>
      <c r="I625" s="10" t="s">
        <v>28</v>
      </c>
      <c r="J625" s="1">
        <v>45531</v>
      </c>
      <c r="K625" s="1">
        <v>45562</v>
      </c>
      <c r="L625" s="25">
        <f ca="1">CLIENTES[[#This Row],[Fecha Vencimiento]]-$J$6</f>
        <v>-33</v>
      </c>
      <c r="N625" s="1" t="str">
        <f t="shared" ca="1" si="18"/>
        <v>Vencido</v>
      </c>
      <c r="O625" s="19">
        <v>45531</v>
      </c>
      <c r="P625" s="2"/>
      <c r="Q625" s="2">
        <f t="shared" si="19"/>
        <v>-45531</v>
      </c>
    </row>
    <row r="626" spans="3:17" x14ac:dyDescent="0.25">
      <c r="C626" s="13" t="s">
        <v>1518</v>
      </c>
      <c r="D626" s="13" t="s">
        <v>669</v>
      </c>
      <c r="E626" s="10">
        <v>1139280555</v>
      </c>
      <c r="F626" t="s">
        <v>35</v>
      </c>
      <c r="G626" t="s">
        <v>1519</v>
      </c>
      <c r="H626" s="14">
        <v>4</v>
      </c>
      <c r="I626" s="10" t="s">
        <v>28</v>
      </c>
      <c r="J626" s="1">
        <v>45573</v>
      </c>
      <c r="K626" s="1">
        <v>45607</v>
      </c>
      <c r="L626" s="25">
        <f ca="1">CLIENTES[[#This Row],[Fecha Vencimiento]]-$J$6</f>
        <v>12</v>
      </c>
      <c r="N626" s="1" t="str">
        <f t="shared" ca="1" si="18"/>
        <v>Al dia</v>
      </c>
      <c r="O626" s="19"/>
      <c r="P626" s="2"/>
      <c r="Q626" s="2">
        <f t="shared" si="19"/>
        <v>0</v>
      </c>
    </row>
    <row r="627" spans="3:17" x14ac:dyDescent="0.25">
      <c r="C627" s="13" t="s">
        <v>1518</v>
      </c>
      <c r="D627" s="13" t="s">
        <v>669</v>
      </c>
      <c r="E627" s="10">
        <v>1139280555</v>
      </c>
      <c r="F627" t="s">
        <v>35</v>
      </c>
      <c r="G627" t="s">
        <v>1520</v>
      </c>
      <c r="H627" s="14">
        <v>5</v>
      </c>
      <c r="I627" s="10" t="s">
        <v>28</v>
      </c>
      <c r="J627" s="1">
        <v>45586</v>
      </c>
      <c r="K627" s="1">
        <v>45615</v>
      </c>
      <c r="L627" s="25">
        <f ca="1">CLIENTES[[#This Row],[Fecha Vencimiento]]-$J$6</f>
        <v>20</v>
      </c>
      <c r="N627" s="1" t="str">
        <f t="shared" ref="N627:N690" ca="1" si="20">IF(L627&lt;0,"Vencido",IF(L627=0,"Vence hoy",IF(L627&lt;4,"Por vencer","Al dia")))</f>
        <v>Al dia</v>
      </c>
      <c r="O627" s="19"/>
      <c r="P627" s="2"/>
      <c r="Q627" s="2">
        <f t="shared" si="19"/>
        <v>0</v>
      </c>
    </row>
    <row r="628" spans="3:17" x14ac:dyDescent="0.25">
      <c r="C628" s="13" t="s">
        <v>1521</v>
      </c>
      <c r="D628" s="13" t="s">
        <v>1522</v>
      </c>
      <c r="E628" s="10">
        <v>1134408649</v>
      </c>
      <c r="F628" t="s">
        <v>35</v>
      </c>
      <c r="G628" t="s">
        <v>1523</v>
      </c>
      <c r="H628" s="14">
        <v>5</v>
      </c>
      <c r="I628" s="10" t="s">
        <v>28</v>
      </c>
      <c r="J628" s="1">
        <v>45567</v>
      </c>
      <c r="K628" s="1">
        <v>45601</v>
      </c>
      <c r="L628" s="25">
        <f ca="1">CLIENTES[[#This Row],[Fecha Vencimiento]]-$J$6</f>
        <v>6</v>
      </c>
      <c r="N628" s="1" t="str">
        <f t="shared" ca="1" si="20"/>
        <v>Al dia</v>
      </c>
      <c r="O628" s="19"/>
      <c r="P628" s="2"/>
      <c r="Q628" s="2">
        <f t="shared" si="19"/>
        <v>0</v>
      </c>
    </row>
    <row r="629" spans="3:17" x14ac:dyDescent="0.25">
      <c r="C629" s="13" t="s">
        <v>1524</v>
      </c>
      <c r="D629" s="13" t="s">
        <v>1525</v>
      </c>
      <c r="E629" s="10">
        <v>1164117524</v>
      </c>
      <c r="F629" t="s">
        <v>35</v>
      </c>
      <c r="G629" t="s">
        <v>1526</v>
      </c>
      <c r="H629" s="14">
        <v>6</v>
      </c>
      <c r="I629" s="10" t="s">
        <v>28</v>
      </c>
      <c r="J629" s="1">
        <v>45570</v>
      </c>
      <c r="K629" s="1">
        <v>45622</v>
      </c>
      <c r="L629" s="25">
        <f ca="1">CLIENTES[[#This Row],[Fecha Vencimiento]]-$J$6</f>
        <v>27</v>
      </c>
      <c r="N629" s="1" t="str">
        <f t="shared" ca="1" si="20"/>
        <v>Al dia</v>
      </c>
      <c r="O629" s="19"/>
      <c r="P629" s="2"/>
      <c r="Q629" s="2">
        <f t="shared" si="19"/>
        <v>0</v>
      </c>
    </row>
    <row r="630" spans="3:17" x14ac:dyDescent="0.25">
      <c r="C630" s="13" t="s">
        <v>1524</v>
      </c>
      <c r="D630" s="13" t="s">
        <v>1525</v>
      </c>
      <c r="E630" s="10">
        <v>1164117524</v>
      </c>
      <c r="F630" t="s">
        <v>35</v>
      </c>
      <c r="G630" t="s">
        <v>1527</v>
      </c>
      <c r="H630" s="14">
        <v>2</v>
      </c>
      <c r="I630" s="10" t="s">
        <v>28</v>
      </c>
      <c r="J630" s="1">
        <v>45571</v>
      </c>
      <c r="K630" s="1">
        <v>45602</v>
      </c>
      <c r="L630" s="25">
        <f ca="1">CLIENTES[[#This Row],[Fecha Vencimiento]]-$J$6</f>
        <v>7</v>
      </c>
      <c r="N630" s="1" t="str">
        <f t="shared" ca="1" si="20"/>
        <v>Al dia</v>
      </c>
      <c r="O630" s="19">
        <v>45541</v>
      </c>
      <c r="P630" s="2"/>
      <c r="Q630" s="2">
        <f t="shared" si="19"/>
        <v>-45541</v>
      </c>
    </row>
    <row r="631" spans="3:17" x14ac:dyDescent="0.25">
      <c r="C631" s="13" t="s">
        <v>1524</v>
      </c>
      <c r="D631" s="13" t="s">
        <v>1528</v>
      </c>
      <c r="E631" s="10">
        <v>1123380327</v>
      </c>
      <c r="F631" t="s">
        <v>35</v>
      </c>
      <c r="G631" t="s">
        <v>1529</v>
      </c>
      <c r="H631" s="14">
        <v>6</v>
      </c>
      <c r="I631" s="10" t="s">
        <v>28</v>
      </c>
      <c r="J631" s="1">
        <v>45572</v>
      </c>
      <c r="K631" s="1">
        <v>45605</v>
      </c>
      <c r="L631" s="25">
        <f ca="1">CLIENTES[[#This Row],[Fecha Vencimiento]]-$J$6</f>
        <v>10</v>
      </c>
      <c r="N631" s="1" t="str">
        <f t="shared" ca="1" si="20"/>
        <v>Al dia</v>
      </c>
      <c r="O631" s="19"/>
      <c r="P631" s="2"/>
      <c r="Q631" s="2">
        <f t="shared" si="19"/>
        <v>0</v>
      </c>
    </row>
    <row r="632" spans="3:17" x14ac:dyDescent="0.25">
      <c r="C632" s="13" t="s">
        <v>1524</v>
      </c>
      <c r="D632" s="13" t="s">
        <v>1530</v>
      </c>
      <c r="E632" s="10">
        <v>1164177591</v>
      </c>
      <c r="F632" t="s">
        <v>35</v>
      </c>
      <c r="G632" t="s">
        <v>1531</v>
      </c>
      <c r="H632" s="14">
        <v>1</v>
      </c>
      <c r="I632" s="10" t="s">
        <v>28</v>
      </c>
      <c r="J632" s="1">
        <v>45569</v>
      </c>
      <c r="K632" s="1">
        <v>45600</v>
      </c>
      <c r="L632" s="25">
        <f ca="1">CLIENTES[[#This Row],[Fecha Vencimiento]]-$J$6</f>
        <v>5</v>
      </c>
      <c r="N632" s="1" t="str">
        <f t="shared" ca="1" si="20"/>
        <v>Al dia</v>
      </c>
      <c r="O632" s="19"/>
      <c r="P632" s="2"/>
      <c r="Q632" s="2">
        <f t="shared" si="19"/>
        <v>0</v>
      </c>
    </row>
    <row r="633" spans="3:17" x14ac:dyDescent="0.25">
      <c r="C633" s="13" t="s">
        <v>1524</v>
      </c>
      <c r="D633" s="13" t="s">
        <v>117</v>
      </c>
      <c r="E633" s="10">
        <v>1170975501</v>
      </c>
      <c r="F633" t="s">
        <v>35</v>
      </c>
      <c r="G633" t="s">
        <v>1532</v>
      </c>
      <c r="H633" s="14">
        <v>1</v>
      </c>
      <c r="I633" s="10" t="s">
        <v>28</v>
      </c>
      <c r="J633" s="1">
        <v>45574</v>
      </c>
      <c r="K633" s="1">
        <v>45605</v>
      </c>
      <c r="L633" s="25">
        <f ca="1">CLIENTES[[#This Row],[Fecha Vencimiento]]-$J$6</f>
        <v>10</v>
      </c>
      <c r="N633" s="1" t="str">
        <f t="shared" ca="1" si="20"/>
        <v>Al dia</v>
      </c>
      <c r="O633" s="19">
        <v>45574</v>
      </c>
      <c r="P633" s="2"/>
      <c r="Q633" s="2">
        <f t="shared" si="19"/>
        <v>-45574</v>
      </c>
    </row>
    <row r="634" spans="3:17" x14ac:dyDescent="0.25">
      <c r="C634" s="13" t="s">
        <v>1533</v>
      </c>
      <c r="D634" s="13" t="s">
        <v>1534</v>
      </c>
      <c r="F634" t="s">
        <v>259</v>
      </c>
      <c r="G634" t="s">
        <v>1535</v>
      </c>
      <c r="H634" s="14">
        <v>3</v>
      </c>
      <c r="I634" s="10" t="s">
        <v>75</v>
      </c>
      <c r="J634" s="1">
        <v>45575</v>
      </c>
      <c r="K634" s="1">
        <v>45606</v>
      </c>
      <c r="L634" s="25">
        <f ca="1">CLIENTES[[#This Row],[Fecha Vencimiento]]-$J$6</f>
        <v>11</v>
      </c>
      <c r="N634" s="1" t="str">
        <f t="shared" ca="1" si="20"/>
        <v>Al dia</v>
      </c>
      <c r="O634" s="19"/>
      <c r="P634" s="2"/>
      <c r="Q634" s="2">
        <f t="shared" si="19"/>
        <v>0</v>
      </c>
    </row>
    <row r="635" spans="3:17" x14ac:dyDescent="0.25">
      <c r="C635" s="13" t="s">
        <v>1533</v>
      </c>
      <c r="D635" s="13" t="s">
        <v>1265</v>
      </c>
      <c r="E635" s="10" t="s">
        <v>3123</v>
      </c>
      <c r="F635" t="s">
        <v>73</v>
      </c>
      <c r="G635" t="s">
        <v>1536</v>
      </c>
      <c r="H635" s="14">
        <v>6</v>
      </c>
      <c r="I635" s="10" t="s">
        <v>75</v>
      </c>
      <c r="J635" s="1">
        <v>45544</v>
      </c>
      <c r="K635" s="1">
        <v>45573</v>
      </c>
      <c r="L635" s="25">
        <f ca="1">CLIENTES[[#This Row],[Fecha Vencimiento]]-$J$6</f>
        <v>-22</v>
      </c>
      <c r="N635" s="1" t="str">
        <f t="shared" ca="1" si="20"/>
        <v>Vencido</v>
      </c>
      <c r="O635" s="19"/>
      <c r="P635" s="2"/>
      <c r="Q635" s="2">
        <f t="shared" si="19"/>
        <v>0</v>
      </c>
    </row>
    <row r="636" spans="3:17" x14ac:dyDescent="0.25">
      <c r="C636" s="13" t="s">
        <v>1537</v>
      </c>
      <c r="D636" s="13" t="s">
        <v>1538</v>
      </c>
      <c r="E636" s="10" t="s">
        <v>2931</v>
      </c>
      <c r="F636" t="s">
        <v>35</v>
      </c>
      <c r="G636" t="s">
        <v>1539</v>
      </c>
      <c r="H636" s="14">
        <v>6</v>
      </c>
      <c r="I636" s="10" t="s">
        <v>28</v>
      </c>
      <c r="J636" s="1">
        <v>45593</v>
      </c>
      <c r="K636" s="1">
        <v>45586</v>
      </c>
      <c r="L636" s="25">
        <f ca="1">CLIENTES[[#This Row],[Fecha Vencimiento]]-$J$6</f>
        <v>-9</v>
      </c>
      <c r="N636" s="1" t="str">
        <f t="shared" ca="1" si="20"/>
        <v>Vencido</v>
      </c>
      <c r="O636" s="19"/>
      <c r="P636" s="2"/>
      <c r="Q636" s="2">
        <f t="shared" si="19"/>
        <v>0</v>
      </c>
    </row>
    <row r="637" spans="3:17" x14ac:dyDescent="0.25">
      <c r="C637" s="13" t="s">
        <v>1540</v>
      </c>
      <c r="D637" s="13" t="s">
        <v>1541</v>
      </c>
      <c r="E637" s="10">
        <v>1136124417</v>
      </c>
      <c r="F637" t="s">
        <v>35</v>
      </c>
      <c r="G637" t="s">
        <v>1542</v>
      </c>
      <c r="I637" s="10" t="s">
        <v>28</v>
      </c>
      <c r="J637" s="1">
        <v>45519</v>
      </c>
      <c r="K637" s="1">
        <v>45549</v>
      </c>
      <c r="L637" s="25">
        <f ca="1">CLIENTES[[#This Row],[Fecha Vencimiento]]-$J$6</f>
        <v>-46</v>
      </c>
      <c r="N637" s="1" t="str">
        <f t="shared" ca="1" si="20"/>
        <v>Vencido</v>
      </c>
      <c r="O637" s="19"/>
      <c r="P637" s="2"/>
      <c r="Q637" s="2">
        <f t="shared" si="19"/>
        <v>0</v>
      </c>
    </row>
    <row r="638" spans="3:17" x14ac:dyDescent="0.25">
      <c r="C638" s="13" t="s">
        <v>1543</v>
      </c>
      <c r="D638" s="13" t="s">
        <v>1544</v>
      </c>
      <c r="E638" s="10">
        <v>1131097160</v>
      </c>
      <c r="F638" t="s">
        <v>35</v>
      </c>
      <c r="G638" t="s">
        <v>1545</v>
      </c>
      <c r="H638" s="14">
        <v>1</v>
      </c>
      <c r="I638" s="10" t="s">
        <v>28</v>
      </c>
      <c r="J638" s="1">
        <v>45572</v>
      </c>
      <c r="K638" s="1">
        <v>45603</v>
      </c>
      <c r="L638" s="25">
        <f ca="1">CLIENTES[[#This Row],[Fecha Vencimiento]]-$J$6</f>
        <v>8</v>
      </c>
      <c r="N638" s="1" t="str">
        <f t="shared" ca="1" si="20"/>
        <v>Al dia</v>
      </c>
      <c r="O638" s="19">
        <v>45572</v>
      </c>
      <c r="P638" s="2"/>
      <c r="Q638" s="2">
        <f t="shared" si="19"/>
        <v>-45572</v>
      </c>
    </row>
    <row r="639" spans="3:17" x14ac:dyDescent="0.25">
      <c r="C639" s="13" t="s">
        <v>1546</v>
      </c>
      <c r="D639" s="13" t="s">
        <v>1547</v>
      </c>
      <c r="E639" s="10">
        <v>1162110467</v>
      </c>
      <c r="F639" t="s">
        <v>35</v>
      </c>
      <c r="G639" t="s">
        <v>1548</v>
      </c>
      <c r="H639" s="14">
        <v>2</v>
      </c>
      <c r="I639" s="10" t="s">
        <v>28</v>
      </c>
      <c r="J639" s="1">
        <v>45590</v>
      </c>
      <c r="K639" s="1">
        <v>45617</v>
      </c>
      <c r="L639" s="25">
        <f ca="1">CLIENTES[[#This Row],[Fecha Vencimiento]]-$J$6</f>
        <v>22</v>
      </c>
      <c r="N639" s="1" t="str">
        <f t="shared" ca="1" si="20"/>
        <v>Al dia</v>
      </c>
      <c r="O639" s="19">
        <v>45556</v>
      </c>
      <c r="P639" s="2"/>
      <c r="Q639" s="2">
        <f t="shared" si="19"/>
        <v>-45556</v>
      </c>
    </row>
    <row r="640" spans="3:17" x14ac:dyDescent="0.25">
      <c r="C640" s="13" t="s">
        <v>1549</v>
      </c>
      <c r="D640" s="13" t="s">
        <v>1550</v>
      </c>
      <c r="E640" s="10">
        <v>1123494003</v>
      </c>
      <c r="F640" t="s">
        <v>35</v>
      </c>
      <c r="G640" t="s">
        <v>1551</v>
      </c>
      <c r="H640" s="14">
        <v>5</v>
      </c>
      <c r="I640" s="10" t="s">
        <v>28</v>
      </c>
      <c r="J640" s="1">
        <v>45538</v>
      </c>
      <c r="K640" s="1">
        <v>45557</v>
      </c>
      <c r="L640" s="25">
        <f ca="1">CLIENTES[[#This Row],[Fecha Vencimiento]]-$J$6</f>
        <v>-38</v>
      </c>
      <c r="N640" s="1" t="str">
        <f t="shared" ca="1" si="20"/>
        <v>Vencido</v>
      </c>
      <c r="O640" s="19"/>
      <c r="P640" s="2"/>
      <c r="Q640" s="2">
        <f t="shared" si="19"/>
        <v>0</v>
      </c>
    </row>
    <row r="641" spans="3:17" x14ac:dyDescent="0.25">
      <c r="C641" s="13" t="s">
        <v>1552</v>
      </c>
      <c r="D641" s="13" t="s">
        <v>1553</v>
      </c>
      <c r="E641" s="10">
        <v>1168235299</v>
      </c>
      <c r="F641" t="s">
        <v>35</v>
      </c>
      <c r="G641" t="s">
        <v>1554</v>
      </c>
      <c r="H641" s="14">
        <v>5</v>
      </c>
      <c r="I641" s="10" t="s">
        <v>28</v>
      </c>
      <c r="J641" s="1">
        <v>45567</v>
      </c>
      <c r="K641" s="1">
        <v>45597</v>
      </c>
      <c r="L641" s="25">
        <f ca="1">CLIENTES[[#This Row],[Fecha Vencimiento]]-$J$6</f>
        <v>2</v>
      </c>
      <c r="N641" s="1" t="str">
        <f t="shared" ca="1" si="20"/>
        <v>Por vencer</v>
      </c>
      <c r="O641" s="19"/>
      <c r="P641" s="2"/>
      <c r="Q641" s="2">
        <f t="shared" si="19"/>
        <v>0</v>
      </c>
    </row>
    <row r="642" spans="3:17" x14ac:dyDescent="0.25">
      <c r="C642" s="13" t="s">
        <v>1552</v>
      </c>
      <c r="D642" s="13" t="s">
        <v>1555</v>
      </c>
      <c r="E642" s="10">
        <v>1138517012</v>
      </c>
      <c r="F642" t="s">
        <v>35</v>
      </c>
      <c r="G642" t="s">
        <v>1556</v>
      </c>
      <c r="H642" s="14">
        <v>1</v>
      </c>
      <c r="I642" s="10" t="s">
        <v>28</v>
      </c>
      <c r="J642" s="1">
        <v>45531</v>
      </c>
      <c r="K642" s="1">
        <v>45562</v>
      </c>
      <c r="L642" s="25">
        <f ca="1">CLIENTES[[#This Row],[Fecha Vencimiento]]-$J$6</f>
        <v>-33</v>
      </c>
      <c r="N642" s="1" t="str">
        <f t="shared" ca="1" si="20"/>
        <v>Vencido</v>
      </c>
      <c r="O642" s="19">
        <v>45531</v>
      </c>
      <c r="P642" s="2"/>
      <c r="Q642" s="2">
        <f t="shared" si="19"/>
        <v>-45531</v>
      </c>
    </row>
    <row r="643" spans="3:17" x14ac:dyDescent="0.25">
      <c r="C643" s="13" t="s">
        <v>1557</v>
      </c>
      <c r="D643" s="13" t="s">
        <v>1558</v>
      </c>
      <c r="E643" s="10">
        <v>1124026755</v>
      </c>
      <c r="F643" t="s">
        <v>35</v>
      </c>
      <c r="G643" t="s">
        <v>1559</v>
      </c>
      <c r="H643" s="14">
        <v>4</v>
      </c>
      <c r="I643" s="10" t="s">
        <v>28</v>
      </c>
      <c r="J643" s="1">
        <v>45590</v>
      </c>
      <c r="K643" s="1">
        <v>45619</v>
      </c>
      <c r="L643" s="25">
        <f ca="1">CLIENTES[[#This Row],[Fecha Vencimiento]]-$J$6</f>
        <v>24</v>
      </c>
      <c r="N643" s="1" t="str">
        <f t="shared" ca="1" si="20"/>
        <v>Al dia</v>
      </c>
      <c r="O643" s="19"/>
      <c r="P643" s="2"/>
      <c r="Q643" s="2">
        <f t="shared" si="19"/>
        <v>0</v>
      </c>
    </row>
    <row r="644" spans="3:17" x14ac:dyDescent="0.25">
      <c r="C644" s="13" t="s">
        <v>1557</v>
      </c>
      <c r="D644" s="13" t="s">
        <v>1560</v>
      </c>
      <c r="E644" s="10">
        <v>1149157240</v>
      </c>
      <c r="F644" t="s">
        <v>35</v>
      </c>
      <c r="G644" t="s">
        <v>1561</v>
      </c>
      <c r="I644" s="10" t="s">
        <v>28</v>
      </c>
      <c r="J644" s="1">
        <v>45517</v>
      </c>
      <c r="K644" s="1">
        <v>45545</v>
      </c>
      <c r="L644" s="25">
        <f ca="1">CLIENTES[[#This Row],[Fecha Vencimiento]]-$J$6</f>
        <v>-50</v>
      </c>
      <c r="N644" s="1" t="str">
        <f t="shared" ca="1" si="20"/>
        <v>Vencido</v>
      </c>
      <c r="O644" s="19"/>
      <c r="P644" s="2"/>
      <c r="Q644" s="2">
        <f t="shared" si="19"/>
        <v>0</v>
      </c>
    </row>
    <row r="645" spans="3:17" x14ac:dyDescent="0.25">
      <c r="C645" s="13" t="s">
        <v>1557</v>
      </c>
      <c r="D645" s="13" t="s">
        <v>1560</v>
      </c>
      <c r="E645" s="10">
        <v>1149157240</v>
      </c>
      <c r="F645" t="s">
        <v>35</v>
      </c>
      <c r="G645" t="s">
        <v>1562</v>
      </c>
      <c r="H645" s="14">
        <v>3</v>
      </c>
      <c r="I645" s="10" t="s">
        <v>28</v>
      </c>
      <c r="J645" s="1">
        <v>45587</v>
      </c>
      <c r="K645" s="1">
        <v>45610</v>
      </c>
      <c r="L645" s="25">
        <f ca="1">CLIENTES[[#This Row],[Fecha Vencimiento]]-$J$6</f>
        <v>15</v>
      </c>
      <c r="N645" s="1" t="str">
        <f t="shared" ca="1" si="20"/>
        <v>Al dia</v>
      </c>
      <c r="O645" s="19"/>
      <c r="P645" s="2"/>
      <c r="Q645" s="2">
        <f t="shared" si="19"/>
        <v>0</v>
      </c>
    </row>
    <row r="646" spans="3:17" x14ac:dyDescent="0.25">
      <c r="C646" s="13" t="s">
        <v>1557</v>
      </c>
      <c r="D646" s="13" t="s">
        <v>1560</v>
      </c>
      <c r="E646" s="10">
        <v>1149157240</v>
      </c>
      <c r="F646" t="s">
        <v>35</v>
      </c>
      <c r="G646" t="s">
        <v>1563</v>
      </c>
      <c r="H646" s="14">
        <v>2</v>
      </c>
      <c r="I646" s="10" t="s">
        <v>28</v>
      </c>
      <c r="J646" s="1">
        <v>45588</v>
      </c>
      <c r="K646" s="1">
        <v>45619</v>
      </c>
      <c r="L646" s="25">
        <f ca="1">CLIENTES[[#This Row],[Fecha Vencimiento]]-$J$6</f>
        <v>24</v>
      </c>
      <c r="N646" s="1" t="str">
        <f t="shared" ca="1" si="20"/>
        <v>Al dia</v>
      </c>
      <c r="O646" s="19">
        <v>45558</v>
      </c>
      <c r="P646" s="2"/>
      <c r="Q646" s="2">
        <f t="shared" si="19"/>
        <v>-45558</v>
      </c>
    </row>
    <row r="647" spans="3:17" x14ac:dyDescent="0.25">
      <c r="C647" s="13" t="s">
        <v>1564</v>
      </c>
      <c r="D647" s="13" t="s">
        <v>1565</v>
      </c>
      <c r="E647" s="10" t="s">
        <v>2931</v>
      </c>
      <c r="F647" t="s">
        <v>35</v>
      </c>
      <c r="G647" t="s">
        <v>1566</v>
      </c>
      <c r="H647" s="14">
        <v>4</v>
      </c>
      <c r="I647" s="10" t="s">
        <v>28</v>
      </c>
      <c r="J647" s="1">
        <v>45579</v>
      </c>
      <c r="K647" s="1">
        <v>45607</v>
      </c>
      <c r="L647" s="25">
        <f ca="1">CLIENTES[[#This Row],[Fecha Vencimiento]]-$J$6</f>
        <v>12</v>
      </c>
      <c r="N647" s="1" t="str">
        <f t="shared" ca="1" si="20"/>
        <v>Al dia</v>
      </c>
      <c r="O647" s="19"/>
      <c r="P647" s="2"/>
      <c r="Q647" s="2">
        <f t="shared" si="19"/>
        <v>0</v>
      </c>
    </row>
    <row r="648" spans="3:17" x14ac:dyDescent="0.25">
      <c r="C648" s="13" t="s">
        <v>1567</v>
      </c>
      <c r="D648" s="13" t="s">
        <v>383</v>
      </c>
      <c r="F648" t="s">
        <v>35</v>
      </c>
      <c r="G648" t="s">
        <v>1568</v>
      </c>
      <c r="I648" s="10" t="s">
        <v>28</v>
      </c>
      <c r="J648" s="1">
        <v>45472</v>
      </c>
      <c r="K648" s="1">
        <v>45472</v>
      </c>
      <c r="L648" s="25">
        <f ca="1">CLIENTES[[#This Row],[Fecha Vencimiento]]-$J$6</f>
        <v>-123</v>
      </c>
      <c r="N648" s="1" t="str">
        <f t="shared" ca="1" si="20"/>
        <v>Vencido</v>
      </c>
      <c r="O648" s="19"/>
      <c r="P648" s="2"/>
      <c r="Q648" s="2">
        <f t="shared" ref="Q648:Q711" si="21">P648-O648</f>
        <v>0</v>
      </c>
    </row>
    <row r="649" spans="3:17" x14ac:dyDescent="0.25">
      <c r="C649" s="13" t="s">
        <v>1569</v>
      </c>
      <c r="D649" s="13" t="s">
        <v>1570</v>
      </c>
      <c r="E649" s="10">
        <v>1125524368</v>
      </c>
      <c r="F649" t="s">
        <v>35</v>
      </c>
      <c r="G649" t="s">
        <v>1571</v>
      </c>
      <c r="H649" s="14">
        <v>3</v>
      </c>
      <c r="I649" s="10" t="s">
        <v>28</v>
      </c>
      <c r="J649" s="1">
        <v>45579</v>
      </c>
      <c r="K649" s="1">
        <v>45608</v>
      </c>
      <c r="L649" s="25">
        <f ca="1">CLIENTES[[#This Row],[Fecha Vencimiento]]-$J$6</f>
        <v>13</v>
      </c>
      <c r="N649" s="1" t="str">
        <f t="shared" ca="1" si="20"/>
        <v>Al dia</v>
      </c>
      <c r="O649" s="19"/>
      <c r="P649" s="2"/>
      <c r="Q649" s="2">
        <f t="shared" si="21"/>
        <v>0</v>
      </c>
    </row>
    <row r="650" spans="3:17" x14ac:dyDescent="0.25">
      <c r="C650" s="13" t="s">
        <v>1569</v>
      </c>
      <c r="D650" s="13" t="s">
        <v>1572</v>
      </c>
      <c r="E650" s="10">
        <v>1167589328</v>
      </c>
      <c r="F650" t="s">
        <v>35</v>
      </c>
      <c r="G650" t="s">
        <v>1573</v>
      </c>
      <c r="H650" s="14">
        <v>1</v>
      </c>
      <c r="I650" s="10" t="s">
        <v>28</v>
      </c>
      <c r="J650" s="1">
        <v>45571</v>
      </c>
      <c r="K650" s="1">
        <v>45602</v>
      </c>
      <c r="L650" s="25">
        <f ca="1">CLIENTES[[#This Row],[Fecha Vencimiento]]-$J$6</f>
        <v>7</v>
      </c>
      <c r="N650" s="1" t="str">
        <f t="shared" ca="1" si="20"/>
        <v>Al dia</v>
      </c>
      <c r="O650" s="19">
        <v>45571</v>
      </c>
      <c r="P650" s="2"/>
      <c r="Q650" s="2">
        <f t="shared" si="21"/>
        <v>-45571</v>
      </c>
    </row>
    <row r="651" spans="3:17" x14ac:dyDescent="0.25">
      <c r="C651" s="13" t="s">
        <v>1569</v>
      </c>
      <c r="D651" s="13" t="s">
        <v>1574</v>
      </c>
      <c r="E651" s="10">
        <v>1166065416</v>
      </c>
      <c r="F651" t="s">
        <v>35</v>
      </c>
      <c r="G651" t="s">
        <v>1575</v>
      </c>
      <c r="H651" s="14">
        <v>2</v>
      </c>
      <c r="I651" s="10" t="s">
        <v>28</v>
      </c>
      <c r="J651" s="1">
        <v>45574</v>
      </c>
      <c r="K651" s="1">
        <v>45605</v>
      </c>
      <c r="L651" s="25">
        <f ca="1">CLIENTES[[#This Row],[Fecha Vencimiento]]-$J$6</f>
        <v>10</v>
      </c>
      <c r="N651" s="1" t="str">
        <f t="shared" ca="1" si="20"/>
        <v>Al dia</v>
      </c>
      <c r="O651" s="19">
        <v>45544</v>
      </c>
      <c r="P651" s="2"/>
      <c r="Q651" s="2">
        <f t="shared" si="21"/>
        <v>-45544</v>
      </c>
    </row>
    <row r="652" spans="3:17" x14ac:dyDescent="0.25">
      <c r="C652" s="13" t="s">
        <v>1569</v>
      </c>
      <c r="D652" s="13" t="s">
        <v>1576</v>
      </c>
      <c r="E652" s="10">
        <v>1151446702</v>
      </c>
      <c r="F652" t="s">
        <v>35</v>
      </c>
      <c r="G652" t="s">
        <v>1577</v>
      </c>
      <c r="H652" s="14">
        <v>3</v>
      </c>
      <c r="I652" s="10" t="s">
        <v>28</v>
      </c>
      <c r="J652" s="1">
        <v>45595</v>
      </c>
      <c r="K652" s="1">
        <v>45626</v>
      </c>
      <c r="L652" s="25">
        <f ca="1">CLIENTES[[#This Row],[Fecha Vencimiento]]-$J$6</f>
        <v>31</v>
      </c>
      <c r="N652" s="1" t="str">
        <f t="shared" ca="1" si="20"/>
        <v>Al dia</v>
      </c>
      <c r="O652" s="19">
        <v>45534</v>
      </c>
      <c r="P652" s="2"/>
      <c r="Q652" s="2">
        <f t="shared" si="21"/>
        <v>-45534</v>
      </c>
    </row>
    <row r="653" spans="3:17" x14ac:dyDescent="0.25">
      <c r="C653" s="13" t="s">
        <v>1569</v>
      </c>
      <c r="D653" s="13" t="s">
        <v>203</v>
      </c>
      <c r="E653" s="10" t="s">
        <v>2931</v>
      </c>
      <c r="F653" t="s">
        <v>159</v>
      </c>
      <c r="G653" t="s">
        <v>1578</v>
      </c>
      <c r="H653" s="14">
        <v>6</v>
      </c>
      <c r="I653" s="10" t="s">
        <v>183</v>
      </c>
      <c r="J653" s="1">
        <v>45569</v>
      </c>
      <c r="K653" s="1">
        <v>45595</v>
      </c>
      <c r="L653" s="25">
        <f ca="1">CLIENTES[[#This Row],[Fecha Vencimiento]]-$J$6</f>
        <v>0</v>
      </c>
      <c r="N653" s="1" t="str">
        <f t="shared" ca="1" si="20"/>
        <v>Vence hoy</v>
      </c>
      <c r="O653" s="19"/>
      <c r="P653" s="2"/>
      <c r="Q653" s="2">
        <f t="shared" si="21"/>
        <v>0</v>
      </c>
    </row>
    <row r="654" spans="3:17" x14ac:dyDescent="0.25">
      <c r="C654" s="13" t="s">
        <v>1569</v>
      </c>
      <c r="D654" s="13" t="s">
        <v>203</v>
      </c>
      <c r="F654" t="s">
        <v>35</v>
      </c>
      <c r="G654" t="s">
        <v>1579</v>
      </c>
      <c r="I654" s="10" t="s">
        <v>28</v>
      </c>
      <c r="J654" s="1">
        <v>45478</v>
      </c>
      <c r="K654" s="1">
        <v>45510</v>
      </c>
      <c r="L654" s="25">
        <f ca="1">CLIENTES[[#This Row],[Fecha Vencimiento]]-$J$6</f>
        <v>-85</v>
      </c>
      <c r="N654" s="1" t="str">
        <f t="shared" ca="1" si="20"/>
        <v>Vencido</v>
      </c>
      <c r="O654" s="19"/>
      <c r="P654" s="2"/>
      <c r="Q654" s="2">
        <f t="shared" si="21"/>
        <v>0</v>
      </c>
    </row>
    <row r="655" spans="3:17" x14ac:dyDescent="0.25">
      <c r="C655" s="13" t="s">
        <v>1569</v>
      </c>
      <c r="D655" s="13" t="s">
        <v>1580</v>
      </c>
      <c r="E655" s="10">
        <v>1165240749</v>
      </c>
      <c r="F655" t="s">
        <v>35</v>
      </c>
      <c r="G655" t="s">
        <v>1581</v>
      </c>
      <c r="H655" s="14">
        <v>6</v>
      </c>
      <c r="I655" s="10" t="s">
        <v>28</v>
      </c>
      <c r="J655" s="1">
        <v>45594</v>
      </c>
      <c r="K655" s="1">
        <v>45624</v>
      </c>
      <c r="L655" s="25">
        <f ca="1">CLIENTES[[#This Row],[Fecha Vencimiento]]-$J$6</f>
        <v>29</v>
      </c>
      <c r="N655" s="1" t="str">
        <f t="shared" ca="1" si="20"/>
        <v>Al dia</v>
      </c>
      <c r="O655" s="19"/>
      <c r="P655" s="2"/>
      <c r="Q655" s="2">
        <f t="shared" si="21"/>
        <v>0</v>
      </c>
    </row>
    <row r="656" spans="3:17" x14ac:dyDescent="0.25">
      <c r="C656" s="13" t="s">
        <v>1569</v>
      </c>
      <c r="D656" s="13" t="s">
        <v>1574</v>
      </c>
      <c r="E656" s="10" t="s">
        <v>3106</v>
      </c>
      <c r="F656" t="s">
        <v>35</v>
      </c>
      <c r="G656" t="s">
        <v>1582</v>
      </c>
      <c r="H656" s="14">
        <v>4</v>
      </c>
      <c r="I656" s="10" t="s">
        <v>28</v>
      </c>
      <c r="J656" s="1">
        <v>45574</v>
      </c>
      <c r="K656" s="1">
        <v>45597</v>
      </c>
      <c r="L656" s="25">
        <f ca="1">CLIENTES[[#This Row],[Fecha Vencimiento]]-$J$6</f>
        <v>2</v>
      </c>
      <c r="N656" s="1" t="str">
        <f t="shared" ca="1" si="20"/>
        <v>Por vencer</v>
      </c>
      <c r="O656" s="19"/>
      <c r="P656" s="2"/>
      <c r="Q656" s="2">
        <f t="shared" si="21"/>
        <v>0</v>
      </c>
    </row>
    <row r="657" spans="3:17" x14ac:dyDescent="0.25">
      <c r="C657" s="13" t="s">
        <v>1569</v>
      </c>
      <c r="D657" s="13" t="s">
        <v>1583</v>
      </c>
      <c r="E657" s="10">
        <v>1130413182</v>
      </c>
      <c r="F657" t="s">
        <v>35</v>
      </c>
      <c r="G657" t="s">
        <v>1584</v>
      </c>
      <c r="H657" s="14">
        <v>6</v>
      </c>
      <c r="I657" s="10" t="s">
        <v>28</v>
      </c>
      <c r="J657" s="1">
        <v>45588</v>
      </c>
      <c r="K657" s="1">
        <v>45619</v>
      </c>
      <c r="L657" s="25">
        <f ca="1">CLIENTES[[#This Row],[Fecha Vencimiento]]-$J$6</f>
        <v>24</v>
      </c>
      <c r="N657" s="1" t="str">
        <f t="shared" ca="1" si="20"/>
        <v>Al dia</v>
      </c>
      <c r="O657" s="19"/>
      <c r="P657" s="2"/>
      <c r="Q657" s="2">
        <f t="shared" si="21"/>
        <v>0</v>
      </c>
    </row>
    <row r="658" spans="3:17" x14ac:dyDescent="0.25">
      <c r="C658" s="13" t="s">
        <v>1569</v>
      </c>
      <c r="D658" s="13" t="s">
        <v>1585</v>
      </c>
      <c r="F658" t="s">
        <v>35</v>
      </c>
      <c r="G658" t="s">
        <v>1586</v>
      </c>
      <c r="H658" s="14">
        <v>2</v>
      </c>
      <c r="I658" s="10" t="s">
        <v>28</v>
      </c>
      <c r="J658" s="1">
        <v>45573</v>
      </c>
      <c r="K658" s="1">
        <v>45604</v>
      </c>
      <c r="L658" s="25">
        <f ca="1">CLIENTES[[#This Row],[Fecha Vencimiento]]-$J$6</f>
        <v>9</v>
      </c>
      <c r="N658" s="1" t="str">
        <f t="shared" ca="1" si="20"/>
        <v>Al dia</v>
      </c>
      <c r="O658" s="19"/>
      <c r="P658" s="2"/>
      <c r="Q658" s="2">
        <f t="shared" si="21"/>
        <v>0</v>
      </c>
    </row>
    <row r="659" spans="3:17" x14ac:dyDescent="0.25">
      <c r="C659" s="13" t="s">
        <v>1569</v>
      </c>
      <c r="D659" s="13" t="s">
        <v>1587</v>
      </c>
      <c r="E659" s="10">
        <v>1162033795</v>
      </c>
      <c r="F659" t="s">
        <v>35</v>
      </c>
      <c r="G659" t="s">
        <v>1588</v>
      </c>
      <c r="H659" s="14">
        <v>3</v>
      </c>
      <c r="I659" s="10" t="s">
        <v>28</v>
      </c>
      <c r="J659" s="1">
        <v>45570</v>
      </c>
      <c r="K659" s="1">
        <v>45619</v>
      </c>
      <c r="L659" s="25">
        <f ca="1">CLIENTES[[#This Row],[Fecha Vencimiento]]-$J$6</f>
        <v>24</v>
      </c>
      <c r="N659" s="1" t="str">
        <f t="shared" ca="1" si="20"/>
        <v>Al dia</v>
      </c>
      <c r="O659" s="19"/>
      <c r="P659" s="2"/>
      <c r="Q659" s="2">
        <f t="shared" si="21"/>
        <v>0</v>
      </c>
    </row>
    <row r="660" spans="3:17" x14ac:dyDescent="0.25">
      <c r="C660" s="13" t="s">
        <v>1569</v>
      </c>
      <c r="D660" s="13" t="s">
        <v>1580</v>
      </c>
      <c r="F660" t="s">
        <v>35</v>
      </c>
      <c r="G660" t="s">
        <v>1589</v>
      </c>
      <c r="H660" s="14">
        <v>3</v>
      </c>
      <c r="I660" s="10" t="s">
        <v>28</v>
      </c>
      <c r="J660" s="1">
        <v>45586</v>
      </c>
      <c r="K660" s="1">
        <v>45604</v>
      </c>
      <c r="L660" s="25">
        <f ca="1">CLIENTES[[#This Row],[Fecha Vencimiento]]-$J$6</f>
        <v>9</v>
      </c>
      <c r="N660" s="1" t="str">
        <f t="shared" ca="1" si="20"/>
        <v>Al dia</v>
      </c>
      <c r="O660" s="19"/>
      <c r="P660" s="2"/>
      <c r="Q660" s="2">
        <f t="shared" si="21"/>
        <v>0</v>
      </c>
    </row>
    <row r="661" spans="3:17" x14ac:dyDescent="0.25">
      <c r="C661" s="13" t="s">
        <v>1569</v>
      </c>
      <c r="D661" s="13" t="s">
        <v>1570</v>
      </c>
      <c r="E661" s="10">
        <v>1125524368</v>
      </c>
      <c r="F661" t="s">
        <v>35</v>
      </c>
      <c r="G661" t="s">
        <v>1590</v>
      </c>
      <c r="H661" s="14">
        <v>3</v>
      </c>
      <c r="I661" s="10" t="s">
        <v>28</v>
      </c>
      <c r="J661" s="1">
        <v>45572</v>
      </c>
      <c r="K661" s="1">
        <v>45600</v>
      </c>
      <c r="L661" s="25">
        <f ca="1">CLIENTES[[#This Row],[Fecha Vencimiento]]-$J$6</f>
        <v>5</v>
      </c>
      <c r="N661" s="1" t="str">
        <f t="shared" ca="1" si="20"/>
        <v>Al dia</v>
      </c>
      <c r="O661" s="19"/>
      <c r="P661" s="2"/>
      <c r="Q661" s="2">
        <f t="shared" si="21"/>
        <v>0</v>
      </c>
    </row>
    <row r="662" spans="3:17" x14ac:dyDescent="0.25">
      <c r="C662" s="13" t="s">
        <v>1569</v>
      </c>
      <c r="D662" s="13" t="s">
        <v>1591</v>
      </c>
      <c r="E662" s="10">
        <v>1125194480</v>
      </c>
      <c r="F662" t="s">
        <v>35</v>
      </c>
      <c r="G662" t="s">
        <v>1592</v>
      </c>
      <c r="H662" s="14">
        <v>2</v>
      </c>
      <c r="I662" s="10" t="s">
        <v>28</v>
      </c>
      <c r="J662" s="1">
        <v>45570</v>
      </c>
      <c r="K662" s="1">
        <v>45594</v>
      </c>
      <c r="L662" s="25">
        <f ca="1">CLIENTES[[#This Row],[Fecha Vencimiento]]-$J$6</f>
        <v>-1</v>
      </c>
      <c r="N662" s="1" t="str">
        <f t="shared" ca="1" si="20"/>
        <v>Vencido</v>
      </c>
      <c r="O662" s="19">
        <v>45533</v>
      </c>
      <c r="P662" s="2"/>
      <c r="Q662" s="2">
        <f t="shared" si="21"/>
        <v>-45533</v>
      </c>
    </row>
    <row r="663" spans="3:17" x14ac:dyDescent="0.25">
      <c r="C663" s="13" t="s">
        <v>1569</v>
      </c>
      <c r="D663" s="13" t="s">
        <v>203</v>
      </c>
      <c r="E663" s="10" t="s">
        <v>3106</v>
      </c>
      <c r="F663" t="s">
        <v>35</v>
      </c>
      <c r="G663" t="s">
        <v>1593</v>
      </c>
      <c r="H663" s="14">
        <v>4</v>
      </c>
      <c r="I663" s="10" t="s">
        <v>28</v>
      </c>
      <c r="J663" s="1">
        <v>45570</v>
      </c>
      <c r="K663" s="1">
        <v>45598</v>
      </c>
      <c r="L663" s="25">
        <f ca="1">CLIENTES[[#This Row],[Fecha Vencimiento]]-$J$6</f>
        <v>3</v>
      </c>
      <c r="N663" s="1" t="str">
        <f t="shared" ca="1" si="20"/>
        <v>Por vencer</v>
      </c>
      <c r="O663" s="19"/>
      <c r="P663" s="2"/>
      <c r="Q663" s="2">
        <f t="shared" si="21"/>
        <v>0</v>
      </c>
    </row>
    <row r="664" spans="3:17" x14ac:dyDescent="0.25">
      <c r="C664" s="13" t="s">
        <v>1569</v>
      </c>
      <c r="D664" s="13" t="s">
        <v>1594</v>
      </c>
      <c r="F664" t="s">
        <v>35</v>
      </c>
      <c r="G664" t="s">
        <v>1595</v>
      </c>
      <c r="H664" s="14">
        <v>2</v>
      </c>
      <c r="I664" s="10" t="s">
        <v>28</v>
      </c>
      <c r="J664" s="1">
        <v>45555</v>
      </c>
      <c r="K664" s="1">
        <v>45656</v>
      </c>
      <c r="L664" s="25">
        <f ca="1">CLIENTES[[#This Row],[Fecha Vencimiento]]-$J$6</f>
        <v>61</v>
      </c>
      <c r="N664" s="1" t="str">
        <f t="shared" ca="1" si="20"/>
        <v>Al dia</v>
      </c>
      <c r="O664" s="19"/>
      <c r="P664" s="2"/>
      <c r="Q664" s="2">
        <f t="shared" si="21"/>
        <v>0</v>
      </c>
    </row>
    <row r="665" spans="3:17" x14ac:dyDescent="0.25">
      <c r="C665" s="13" t="s">
        <v>1569</v>
      </c>
      <c r="D665" s="13" t="s">
        <v>1596</v>
      </c>
      <c r="E665" s="10">
        <v>1150478428</v>
      </c>
      <c r="F665" t="s">
        <v>35</v>
      </c>
      <c r="G665" t="s">
        <v>1597</v>
      </c>
      <c r="H665" s="14">
        <v>1</v>
      </c>
      <c r="I665" s="10" t="s">
        <v>28</v>
      </c>
      <c r="J665" s="1">
        <v>45572</v>
      </c>
      <c r="K665" s="1">
        <v>45602</v>
      </c>
      <c r="L665" s="25">
        <f ca="1">CLIENTES[[#This Row],[Fecha Vencimiento]]-$J$6</f>
        <v>7</v>
      </c>
      <c r="N665" s="1" t="str">
        <f t="shared" ca="1" si="20"/>
        <v>Al dia</v>
      </c>
      <c r="O665" s="19"/>
      <c r="P665" s="2"/>
      <c r="Q665" s="2">
        <f t="shared" si="21"/>
        <v>0</v>
      </c>
    </row>
    <row r="666" spans="3:17" x14ac:dyDescent="0.25">
      <c r="C666" s="13" t="s">
        <v>1569</v>
      </c>
      <c r="D666" s="13" t="s">
        <v>822</v>
      </c>
      <c r="E666" s="10">
        <v>1125657575</v>
      </c>
      <c r="F666" t="s">
        <v>35</v>
      </c>
      <c r="G666" t="s">
        <v>1598</v>
      </c>
      <c r="H666" s="14">
        <v>6</v>
      </c>
      <c r="I666" s="10" t="s">
        <v>28</v>
      </c>
      <c r="J666" s="1">
        <v>45584</v>
      </c>
      <c r="K666" s="1">
        <v>45612</v>
      </c>
      <c r="L666" s="25">
        <f ca="1">CLIENTES[[#This Row],[Fecha Vencimiento]]-$J$6</f>
        <v>17</v>
      </c>
      <c r="N666" s="1" t="str">
        <f t="shared" ca="1" si="20"/>
        <v>Al dia</v>
      </c>
      <c r="O666" s="19"/>
      <c r="P666" s="2"/>
      <c r="Q666" s="2">
        <f t="shared" si="21"/>
        <v>0</v>
      </c>
    </row>
    <row r="667" spans="3:17" x14ac:dyDescent="0.25">
      <c r="C667" s="13" t="s">
        <v>1569</v>
      </c>
      <c r="D667" s="13" t="s">
        <v>51</v>
      </c>
      <c r="E667" s="10">
        <v>1123780496</v>
      </c>
      <c r="F667" t="s">
        <v>35</v>
      </c>
      <c r="G667" t="s">
        <v>1599</v>
      </c>
      <c r="H667" s="14">
        <v>2</v>
      </c>
      <c r="I667" s="10" t="s">
        <v>28</v>
      </c>
      <c r="J667" s="1">
        <v>45527</v>
      </c>
      <c r="K667" s="1">
        <v>45541</v>
      </c>
      <c r="L667" s="25">
        <f ca="1">CLIENTES[[#This Row],[Fecha Vencimiento]]-$J$6</f>
        <v>-54</v>
      </c>
      <c r="N667" s="1" t="str">
        <f t="shared" ca="1" si="20"/>
        <v>Vencido</v>
      </c>
      <c r="O667" s="19"/>
      <c r="P667" s="2"/>
      <c r="Q667" s="2">
        <f t="shared" si="21"/>
        <v>0</v>
      </c>
    </row>
    <row r="668" spans="3:17" x14ac:dyDescent="0.25">
      <c r="C668" s="13" t="s">
        <v>1569</v>
      </c>
      <c r="D668" s="13" t="s">
        <v>1600</v>
      </c>
      <c r="E668" s="10">
        <v>1126241168</v>
      </c>
      <c r="F668" t="s">
        <v>35</v>
      </c>
      <c r="G668" t="s">
        <v>1601</v>
      </c>
      <c r="I668" s="10" t="s">
        <v>28</v>
      </c>
      <c r="J668" s="1">
        <v>45513</v>
      </c>
      <c r="K668" s="1">
        <v>45544</v>
      </c>
      <c r="L668" s="25">
        <f ca="1">CLIENTES[[#This Row],[Fecha Vencimiento]]-$J$6</f>
        <v>-51</v>
      </c>
      <c r="N668" s="1" t="str">
        <f t="shared" ca="1" si="20"/>
        <v>Vencido</v>
      </c>
      <c r="O668" s="19"/>
      <c r="P668" s="2"/>
      <c r="Q668" s="2">
        <f t="shared" si="21"/>
        <v>0</v>
      </c>
    </row>
    <row r="669" spans="3:17" x14ac:dyDescent="0.25">
      <c r="C669" t="s">
        <v>1569</v>
      </c>
      <c r="D669" t="s">
        <v>1602</v>
      </c>
      <c r="E669" s="10">
        <v>1126838571</v>
      </c>
      <c r="F669" t="s">
        <v>35</v>
      </c>
      <c r="G669" t="s">
        <v>1603</v>
      </c>
      <c r="H669" s="14">
        <v>1</v>
      </c>
      <c r="I669" s="10" t="s">
        <v>28</v>
      </c>
      <c r="J669" s="1">
        <v>45567</v>
      </c>
      <c r="K669" s="1">
        <v>45598</v>
      </c>
      <c r="L669" s="26">
        <f ca="1">CLIENTES[[#This Row],[Fecha Vencimiento]]-$J$6</f>
        <v>3</v>
      </c>
      <c r="N669" s="1" t="str">
        <f t="shared" ca="1" si="20"/>
        <v>Por vencer</v>
      </c>
      <c r="O669" s="19">
        <v>45567</v>
      </c>
      <c r="P669" s="2"/>
      <c r="Q669" s="2">
        <f t="shared" si="21"/>
        <v>-45567</v>
      </c>
    </row>
    <row r="670" spans="3:17" x14ac:dyDescent="0.25">
      <c r="C670" t="s">
        <v>1569</v>
      </c>
      <c r="D670" t="s">
        <v>1602</v>
      </c>
      <c r="E670" s="10">
        <v>1126838571</v>
      </c>
      <c r="F670" t="s">
        <v>35</v>
      </c>
      <c r="G670" t="s">
        <v>1604</v>
      </c>
      <c r="H670" s="14">
        <v>1</v>
      </c>
      <c r="I670" s="10" t="s">
        <v>28</v>
      </c>
      <c r="J670" s="1">
        <v>45567</v>
      </c>
      <c r="K670" s="1">
        <v>45598</v>
      </c>
      <c r="L670" s="26">
        <f ca="1">CLIENTES[[#This Row],[Fecha Vencimiento]]-$J$6</f>
        <v>3</v>
      </c>
      <c r="N670" s="1" t="str">
        <f t="shared" ca="1" si="20"/>
        <v>Por vencer</v>
      </c>
      <c r="O670" s="19">
        <v>45567</v>
      </c>
      <c r="P670" s="2"/>
      <c r="Q670" s="2">
        <f t="shared" si="21"/>
        <v>-45567</v>
      </c>
    </row>
    <row r="671" spans="3:17" x14ac:dyDescent="0.25">
      <c r="C671" s="13" t="s">
        <v>1605</v>
      </c>
      <c r="D671" s="13" t="s">
        <v>1606</v>
      </c>
      <c r="E671" s="10">
        <v>1134216424</v>
      </c>
      <c r="F671" t="s">
        <v>35</v>
      </c>
      <c r="G671" t="s">
        <v>1607</v>
      </c>
      <c r="H671" s="14">
        <v>1</v>
      </c>
      <c r="I671" s="10" t="s">
        <v>28</v>
      </c>
      <c r="J671" s="1">
        <v>45589</v>
      </c>
      <c r="K671" s="1">
        <v>45631</v>
      </c>
      <c r="L671" s="25">
        <f ca="1">CLIENTES[[#This Row],[Fecha Vencimiento]]-$J$6</f>
        <v>36</v>
      </c>
      <c r="N671" s="1" t="str">
        <f t="shared" ca="1" si="20"/>
        <v>Al dia</v>
      </c>
      <c r="O671" s="19"/>
      <c r="P671" s="2"/>
      <c r="Q671" s="2">
        <f t="shared" si="21"/>
        <v>0</v>
      </c>
    </row>
    <row r="672" spans="3:17" x14ac:dyDescent="0.25">
      <c r="C672" s="13" t="s">
        <v>1608</v>
      </c>
      <c r="D672" s="13" t="s">
        <v>1609</v>
      </c>
      <c r="E672" s="10" t="s">
        <v>2931</v>
      </c>
      <c r="F672" t="s">
        <v>35</v>
      </c>
      <c r="G672" t="s">
        <v>1610</v>
      </c>
      <c r="H672" s="14">
        <v>3</v>
      </c>
      <c r="I672" s="10" t="s">
        <v>28</v>
      </c>
      <c r="J672" s="1">
        <v>45530</v>
      </c>
      <c r="K672" s="1">
        <v>45550</v>
      </c>
      <c r="L672" s="25">
        <f ca="1">CLIENTES[[#This Row],[Fecha Vencimiento]]-$J$6</f>
        <v>-45</v>
      </c>
      <c r="N672" s="1" t="str">
        <f t="shared" ca="1" si="20"/>
        <v>Vencido</v>
      </c>
      <c r="O672" s="19"/>
      <c r="P672" s="2"/>
      <c r="Q672" s="2">
        <f t="shared" si="21"/>
        <v>0</v>
      </c>
    </row>
    <row r="673" spans="3:17" x14ac:dyDescent="0.25">
      <c r="C673" s="13" t="s">
        <v>1611</v>
      </c>
      <c r="D673" s="13" t="s">
        <v>1612</v>
      </c>
      <c r="F673" t="s">
        <v>35</v>
      </c>
      <c r="G673" t="s">
        <v>1613</v>
      </c>
      <c r="H673" s="14">
        <v>4</v>
      </c>
      <c r="I673" s="10" t="s">
        <v>28</v>
      </c>
      <c r="J673" s="1">
        <v>45576</v>
      </c>
      <c r="K673" s="1">
        <v>45629</v>
      </c>
      <c r="L673" s="25">
        <f ca="1">CLIENTES[[#This Row],[Fecha Vencimiento]]-$J$6</f>
        <v>34</v>
      </c>
      <c r="N673" s="1" t="str">
        <f t="shared" ca="1" si="20"/>
        <v>Al dia</v>
      </c>
      <c r="O673" s="19"/>
      <c r="P673" s="2"/>
      <c r="Q673" s="2">
        <f t="shared" si="21"/>
        <v>0</v>
      </c>
    </row>
    <row r="674" spans="3:17" x14ac:dyDescent="0.25">
      <c r="C674" s="13" t="s">
        <v>1614</v>
      </c>
      <c r="D674" s="13" t="s">
        <v>1615</v>
      </c>
      <c r="E674" s="10">
        <v>1168015530</v>
      </c>
      <c r="F674" t="s">
        <v>35</v>
      </c>
      <c r="G674" t="s">
        <v>1616</v>
      </c>
      <c r="H674" s="14">
        <v>2</v>
      </c>
      <c r="I674" s="10" t="s">
        <v>28</v>
      </c>
      <c r="J674" s="1">
        <v>45542</v>
      </c>
      <c r="K674" s="1">
        <v>45575</v>
      </c>
      <c r="L674" s="25">
        <f ca="1">CLIENTES[[#This Row],[Fecha Vencimiento]]-$J$6</f>
        <v>-20</v>
      </c>
      <c r="N674" s="1" t="str">
        <f t="shared" ca="1" si="20"/>
        <v>Vencido</v>
      </c>
      <c r="O674" s="19"/>
      <c r="P674" s="2"/>
      <c r="Q674" s="2">
        <f t="shared" si="21"/>
        <v>0</v>
      </c>
    </row>
    <row r="675" spans="3:17" x14ac:dyDescent="0.25">
      <c r="C675" s="13" t="s">
        <v>1617</v>
      </c>
      <c r="D675" s="13" t="s">
        <v>1618</v>
      </c>
      <c r="F675" t="s">
        <v>35</v>
      </c>
      <c r="G675" t="s">
        <v>1619</v>
      </c>
      <c r="H675" s="14">
        <v>4</v>
      </c>
      <c r="I675" s="10" t="s">
        <v>28</v>
      </c>
      <c r="J675" s="1">
        <v>45585</v>
      </c>
      <c r="K675" s="1">
        <v>45609</v>
      </c>
      <c r="L675" s="25">
        <f ca="1">CLIENTES[[#This Row],[Fecha Vencimiento]]-$J$6</f>
        <v>14</v>
      </c>
      <c r="N675" s="1" t="str">
        <f t="shared" ca="1" si="20"/>
        <v>Al dia</v>
      </c>
      <c r="O675" s="19"/>
      <c r="P675" s="2"/>
      <c r="Q675" s="2">
        <f t="shared" si="21"/>
        <v>0</v>
      </c>
    </row>
    <row r="676" spans="3:17" x14ac:dyDescent="0.25">
      <c r="C676" s="13" t="s">
        <v>1620</v>
      </c>
      <c r="D676" s="13" t="s">
        <v>1621</v>
      </c>
      <c r="E676" s="10">
        <v>1170316544</v>
      </c>
      <c r="F676" t="s">
        <v>35</v>
      </c>
      <c r="G676" t="s">
        <v>1622</v>
      </c>
      <c r="H676" s="14">
        <v>6</v>
      </c>
      <c r="I676" s="10" t="s">
        <v>28</v>
      </c>
      <c r="J676" s="1">
        <v>45590</v>
      </c>
      <c r="K676" s="1">
        <v>45622</v>
      </c>
      <c r="L676" s="25">
        <f ca="1">CLIENTES[[#This Row],[Fecha Vencimiento]]-$J$6</f>
        <v>27</v>
      </c>
      <c r="N676" s="1" t="str">
        <f t="shared" ca="1" si="20"/>
        <v>Al dia</v>
      </c>
      <c r="O676" s="19"/>
      <c r="P676" s="2"/>
      <c r="Q676" s="2">
        <f t="shared" si="21"/>
        <v>0</v>
      </c>
    </row>
    <row r="677" spans="3:17" ht="30" x14ac:dyDescent="0.25">
      <c r="C677" s="13" t="s">
        <v>1623</v>
      </c>
      <c r="D677" s="33" t="s">
        <v>1624</v>
      </c>
      <c r="E677" s="10">
        <v>1135985528</v>
      </c>
      <c r="F677" t="s">
        <v>35</v>
      </c>
      <c r="G677" t="s">
        <v>1625</v>
      </c>
      <c r="H677" s="14">
        <v>3</v>
      </c>
      <c r="I677" s="10" t="s">
        <v>28</v>
      </c>
      <c r="J677" s="1">
        <v>45572</v>
      </c>
      <c r="K677" s="1">
        <v>45597</v>
      </c>
      <c r="L677" s="25">
        <f ca="1">CLIENTES[[#This Row],[Fecha Vencimiento]]-$J$6</f>
        <v>2</v>
      </c>
      <c r="N677" s="1" t="str">
        <f t="shared" ca="1" si="20"/>
        <v>Por vencer</v>
      </c>
      <c r="O677" s="19"/>
      <c r="P677" s="2"/>
      <c r="Q677" s="2">
        <f t="shared" si="21"/>
        <v>0</v>
      </c>
    </row>
    <row r="678" spans="3:17" x14ac:dyDescent="0.25">
      <c r="C678" s="13" t="s">
        <v>1626</v>
      </c>
      <c r="D678" s="13" t="s">
        <v>1627</v>
      </c>
      <c r="F678" t="s">
        <v>35</v>
      </c>
      <c r="G678" t="s">
        <v>1628</v>
      </c>
      <c r="I678" s="10" t="s">
        <v>28</v>
      </c>
      <c r="J678" s="1">
        <v>45491</v>
      </c>
      <c r="K678" s="1">
        <v>45522</v>
      </c>
      <c r="L678" s="25">
        <f ca="1">CLIENTES[[#This Row],[Fecha Vencimiento]]-$J$6</f>
        <v>-73</v>
      </c>
      <c r="N678" s="1" t="str">
        <f t="shared" ca="1" si="20"/>
        <v>Vencido</v>
      </c>
      <c r="O678" s="19"/>
      <c r="P678" s="2"/>
      <c r="Q678" s="2">
        <f t="shared" si="21"/>
        <v>0</v>
      </c>
    </row>
    <row r="679" spans="3:17" x14ac:dyDescent="0.25">
      <c r="C679" s="13" t="s">
        <v>1626</v>
      </c>
      <c r="D679" s="13" t="s">
        <v>1629</v>
      </c>
      <c r="E679" s="10">
        <v>1138603633</v>
      </c>
      <c r="F679" t="s">
        <v>35</v>
      </c>
      <c r="G679" t="s">
        <v>1630</v>
      </c>
      <c r="H679" s="14">
        <v>1</v>
      </c>
      <c r="I679" s="10" t="s">
        <v>28</v>
      </c>
      <c r="J679" s="1">
        <v>45573</v>
      </c>
      <c r="K679" s="1">
        <v>45603</v>
      </c>
      <c r="L679" s="25">
        <f ca="1">CLIENTES[[#This Row],[Fecha Vencimiento]]-$J$6</f>
        <v>8</v>
      </c>
      <c r="N679" s="1" t="str">
        <f t="shared" ca="1" si="20"/>
        <v>Al dia</v>
      </c>
      <c r="O679" s="19"/>
      <c r="P679" s="2"/>
      <c r="Q679" s="2">
        <f t="shared" si="21"/>
        <v>0</v>
      </c>
    </row>
    <row r="680" spans="3:17" x14ac:dyDescent="0.25">
      <c r="C680" s="13" t="s">
        <v>1631</v>
      </c>
      <c r="D680" s="13" t="s">
        <v>1632</v>
      </c>
      <c r="E680" s="10">
        <v>1127468763</v>
      </c>
      <c r="F680" t="s">
        <v>35</v>
      </c>
      <c r="G680" t="s">
        <v>1633</v>
      </c>
      <c r="H680" s="14">
        <v>1</v>
      </c>
      <c r="I680" s="10" t="s">
        <v>28</v>
      </c>
      <c r="J680" s="1">
        <v>45586</v>
      </c>
      <c r="K680" s="1">
        <v>45615</v>
      </c>
      <c r="L680" s="25">
        <f ca="1">CLIENTES[[#This Row],[Fecha Vencimiento]]-$J$6</f>
        <v>20</v>
      </c>
      <c r="N680" s="1" t="str">
        <f t="shared" ca="1" si="20"/>
        <v>Al dia</v>
      </c>
      <c r="O680" s="19"/>
      <c r="P680" s="2"/>
      <c r="Q680" s="2">
        <f t="shared" si="21"/>
        <v>0</v>
      </c>
    </row>
    <row r="681" spans="3:17" x14ac:dyDescent="0.25">
      <c r="C681" s="13" t="s">
        <v>1634</v>
      </c>
      <c r="D681" s="13" t="s">
        <v>1635</v>
      </c>
      <c r="E681" s="10">
        <v>1164572777</v>
      </c>
      <c r="F681" t="s">
        <v>35</v>
      </c>
      <c r="G681" t="s">
        <v>1636</v>
      </c>
      <c r="H681" s="14">
        <v>2</v>
      </c>
      <c r="I681" s="10" t="s">
        <v>28</v>
      </c>
      <c r="J681" s="1">
        <v>45590</v>
      </c>
      <c r="K681" s="1">
        <v>45619</v>
      </c>
      <c r="L681" s="25">
        <f ca="1">CLIENTES[[#This Row],[Fecha Vencimiento]]-$J$6</f>
        <v>24</v>
      </c>
      <c r="N681" s="1" t="str">
        <f t="shared" ca="1" si="20"/>
        <v>Al dia</v>
      </c>
      <c r="O681" s="19"/>
      <c r="P681" s="2"/>
      <c r="Q681" s="2">
        <f t="shared" si="21"/>
        <v>0</v>
      </c>
    </row>
    <row r="682" spans="3:17" x14ac:dyDescent="0.25">
      <c r="C682" s="13" t="s">
        <v>1637</v>
      </c>
      <c r="D682" s="13" t="s">
        <v>1638</v>
      </c>
      <c r="E682" s="10" t="s">
        <v>2931</v>
      </c>
      <c r="F682" t="s">
        <v>35</v>
      </c>
      <c r="G682" t="s">
        <v>1639</v>
      </c>
      <c r="H682" s="14">
        <v>6</v>
      </c>
      <c r="I682" s="10" t="s">
        <v>28</v>
      </c>
      <c r="J682" s="1">
        <v>45590</v>
      </c>
      <c r="K682" s="1">
        <v>45622</v>
      </c>
      <c r="L682" s="25">
        <f ca="1">CLIENTES[[#This Row],[Fecha Vencimiento]]-$J$6</f>
        <v>27</v>
      </c>
      <c r="N682" s="1" t="str">
        <f t="shared" ca="1" si="20"/>
        <v>Al dia</v>
      </c>
      <c r="O682" s="19"/>
      <c r="P682" s="2"/>
      <c r="Q682" s="2">
        <f t="shared" si="21"/>
        <v>0</v>
      </c>
    </row>
    <row r="683" spans="3:17" x14ac:dyDescent="0.25">
      <c r="C683" s="13" t="s">
        <v>1637</v>
      </c>
      <c r="D683" s="13" t="s">
        <v>1638</v>
      </c>
      <c r="E683" s="10" t="s">
        <v>3107</v>
      </c>
      <c r="F683" t="s">
        <v>35</v>
      </c>
      <c r="G683" t="s">
        <v>1640</v>
      </c>
      <c r="H683" s="14">
        <v>6</v>
      </c>
      <c r="I683" s="10" t="s">
        <v>28</v>
      </c>
      <c r="J683" s="1">
        <v>45576</v>
      </c>
      <c r="K683" s="1">
        <v>45606</v>
      </c>
      <c r="L683" s="25">
        <f ca="1">CLIENTES[[#This Row],[Fecha Vencimiento]]-$J$6</f>
        <v>11</v>
      </c>
      <c r="N683" s="1" t="str">
        <f t="shared" ca="1" si="20"/>
        <v>Al dia</v>
      </c>
      <c r="O683" s="19"/>
      <c r="P683" s="2"/>
      <c r="Q683" s="2">
        <f t="shared" si="21"/>
        <v>0</v>
      </c>
    </row>
    <row r="684" spans="3:17" ht="30" x14ac:dyDescent="0.25">
      <c r="C684" s="13" t="s">
        <v>1641</v>
      </c>
      <c r="D684" s="13" t="s">
        <v>1642</v>
      </c>
      <c r="E684" s="34" t="s">
        <v>3124</v>
      </c>
      <c r="F684" t="s">
        <v>232</v>
      </c>
      <c r="G684" t="s">
        <v>1643</v>
      </c>
      <c r="H684" s="14">
        <v>1</v>
      </c>
      <c r="I684" s="10" t="s">
        <v>183</v>
      </c>
      <c r="J684" s="1">
        <v>45567</v>
      </c>
      <c r="K684" s="1">
        <v>45598</v>
      </c>
      <c r="L684" s="25">
        <f ca="1">CLIENTES[[#This Row],[Fecha Vencimiento]]-$J$6</f>
        <v>3</v>
      </c>
      <c r="N684" s="1" t="str">
        <f t="shared" ca="1" si="20"/>
        <v>Por vencer</v>
      </c>
      <c r="O684" s="19">
        <v>45567</v>
      </c>
      <c r="P684" s="2"/>
      <c r="Q684" s="2">
        <f t="shared" si="21"/>
        <v>-45567</v>
      </c>
    </row>
    <row r="685" spans="3:17" x14ac:dyDescent="0.25">
      <c r="C685" s="13" t="s">
        <v>1644</v>
      </c>
      <c r="D685" s="13" t="s">
        <v>1645</v>
      </c>
      <c r="E685" s="10">
        <v>1128872714</v>
      </c>
      <c r="F685" t="s">
        <v>35</v>
      </c>
      <c r="G685" t="s">
        <v>1646</v>
      </c>
      <c r="H685" s="14">
        <v>4</v>
      </c>
      <c r="I685" s="10" t="s">
        <v>28</v>
      </c>
      <c r="J685" s="1">
        <v>45591</v>
      </c>
      <c r="K685" s="1">
        <v>45607</v>
      </c>
      <c r="L685" s="25">
        <f ca="1">CLIENTES[[#This Row],[Fecha Vencimiento]]-$J$6</f>
        <v>12</v>
      </c>
      <c r="N685" s="1" t="str">
        <f t="shared" ca="1" si="20"/>
        <v>Al dia</v>
      </c>
      <c r="O685" s="19"/>
      <c r="P685" s="2"/>
      <c r="Q685" s="2">
        <f t="shared" si="21"/>
        <v>0</v>
      </c>
    </row>
    <row r="686" spans="3:17" x14ac:dyDescent="0.25">
      <c r="C686" s="13" t="s">
        <v>1647</v>
      </c>
      <c r="D686" s="13" t="s">
        <v>1648</v>
      </c>
      <c r="F686" t="s">
        <v>232</v>
      </c>
      <c r="G686" t="s">
        <v>1649</v>
      </c>
      <c r="H686" s="14">
        <v>3</v>
      </c>
      <c r="I686" s="10" t="s">
        <v>183</v>
      </c>
      <c r="J686" s="1">
        <v>45579</v>
      </c>
      <c r="K686" s="1">
        <v>45615</v>
      </c>
      <c r="L686" s="25">
        <f ca="1">CLIENTES[[#This Row],[Fecha Vencimiento]]-$J$6</f>
        <v>20</v>
      </c>
      <c r="N686" s="1" t="str">
        <f t="shared" ca="1" si="20"/>
        <v>Al dia</v>
      </c>
      <c r="O686" s="19">
        <v>45523</v>
      </c>
      <c r="P686" s="2"/>
      <c r="Q686" s="2">
        <f t="shared" si="21"/>
        <v>-45523</v>
      </c>
    </row>
    <row r="687" spans="3:17" x14ac:dyDescent="0.25">
      <c r="C687" s="13" t="s">
        <v>1650</v>
      </c>
      <c r="D687" s="13" t="s">
        <v>374</v>
      </c>
      <c r="E687" s="10">
        <v>1140877891</v>
      </c>
      <c r="F687" t="s">
        <v>35</v>
      </c>
      <c r="G687" t="s">
        <v>1651</v>
      </c>
      <c r="H687" s="14">
        <v>4</v>
      </c>
      <c r="I687" s="10" t="s">
        <v>28</v>
      </c>
      <c r="J687" s="1">
        <v>45594</v>
      </c>
      <c r="K687" s="1">
        <v>45627</v>
      </c>
      <c r="L687" s="25">
        <f ca="1">CLIENTES[[#This Row],[Fecha Vencimiento]]-$J$6</f>
        <v>32</v>
      </c>
      <c r="N687" s="1" t="str">
        <f t="shared" ca="1" si="20"/>
        <v>Al dia</v>
      </c>
      <c r="O687" s="19"/>
      <c r="P687" s="2"/>
      <c r="Q687" s="2">
        <f t="shared" si="21"/>
        <v>0</v>
      </c>
    </row>
    <row r="688" spans="3:17" x14ac:dyDescent="0.25">
      <c r="C688" s="13" t="s">
        <v>1652</v>
      </c>
      <c r="D688" s="13" t="s">
        <v>1139</v>
      </c>
      <c r="F688" t="s">
        <v>35</v>
      </c>
      <c r="G688" t="s">
        <v>1653</v>
      </c>
      <c r="H688" s="14">
        <v>1</v>
      </c>
      <c r="I688" s="10" t="s">
        <v>28</v>
      </c>
      <c r="J688" s="1">
        <v>45570</v>
      </c>
      <c r="K688" s="1">
        <v>45604</v>
      </c>
      <c r="L688" s="25">
        <f ca="1">CLIENTES[[#This Row],[Fecha Vencimiento]]-$J$6</f>
        <v>9</v>
      </c>
      <c r="N688" s="1" t="str">
        <f t="shared" ca="1" si="20"/>
        <v>Al dia</v>
      </c>
      <c r="O688" s="19"/>
      <c r="P688" s="2"/>
      <c r="Q688" s="2">
        <f t="shared" si="21"/>
        <v>0</v>
      </c>
    </row>
    <row r="689" spans="3:17" x14ac:dyDescent="0.25">
      <c r="C689" s="13" t="s">
        <v>1654</v>
      </c>
      <c r="D689" s="13" t="s">
        <v>1655</v>
      </c>
      <c r="E689" s="10" t="s">
        <v>3106</v>
      </c>
      <c r="F689" t="s">
        <v>35</v>
      </c>
      <c r="G689" t="s">
        <v>1656</v>
      </c>
      <c r="I689" s="10" t="s">
        <v>28</v>
      </c>
      <c r="J689" s="1">
        <v>45580</v>
      </c>
      <c r="K689" s="1">
        <v>45597</v>
      </c>
      <c r="L689" s="25">
        <f ca="1">CLIENTES[[#This Row],[Fecha Vencimiento]]-$J$6</f>
        <v>2</v>
      </c>
      <c r="N689" s="1" t="str">
        <f t="shared" ca="1" si="20"/>
        <v>Por vencer</v>
      </c>
      <c r="O689" s="19"/>
      <c r="P689" s="2"/>
      <c r="Q689" s="2">
        <f t="shared" si="21"/>
        <v>0</v>
      </c>
    </row>
    <row r="690" spans="3:17" x14ac:dyDescent="0.25">
      <c r="C690" s="13" t="s">
        <v>1654</v>
      </c>
      <c r="D690" s="13" t="s">
        <v>1657</v>
      </c>
      <c r="E690" s="10">
        <v>1162708707</v>
      </c>
      <c r="F690" t="s">
        <v>35</v>
      </c>
      <c r="G690" t="s">
        <v>1658</v>
      </c>
      <c r="H690" s="14">
        <v>6</v>
      </c>
      <c r="I690" s="10" t="s">
        <v>28</v>
      </c>
      <c r="J690" s="1">
        <v>45593</v>
      </c>
      <c r="K690" s="1">
        <v>45616</v>
      </c>
      <c r="L690" s="25">
        <f ca="1">CLIENTES[[#This Row],[Fecha Vencimiento]]-$J$6</f>
        <v>21</v>
      </c>
      <c r="N690" s="1" t="str">
        <f t="shared" ca="1" si="20"/>
        <v>Al dia</v>
      </c>
      <c r="O690" s="19"/>
      <c r="P690" s="2"/>
      <c r="Q690" s="2">
        <f t="shared" si="21"/>
        <v>0</v>
      </c>
    </row>
    <row r="691" spans="3:17" x14ac:dyDescent="0.25">
      <c r="C691" s="13" t="s">
        <v>1654</v>
      </c>
      <c r="D691" s="13" t="s">
        <v>1659</v>
      </c>
      <c r="E691" s="10">
        <v>1150205178</v>
      </c>
      <c r="F691" t="s">
        <v>35</v>
      </c>
      <c r="G691" t="s">
        <v>1660</v>
      </c>
      <c r="H691" s="14">
        <v>4</v>
      </c>
      <c r="I691" s="10" t="s">
        <v>28</v>
      </c>
      <c r="J691" s="1">
        <v>45595</v>
      </c>
      <c r="K691" s="1">
        <v>45621</v>
      </c>
      <c r="L691" s="25">
        <f ca="1">CLIENTES[[#This Row],[Fecha Vencimiento]]-$J$6</f>
        <v>26</v>
      </c>
      <c r="N691" s="1" t="str">
        <f t="shared" ref="N691:N754" ca="1" si="22">IF(L691&lt;0,"Vencido",IF(L691=0,"Vence hoy",IF(L691&lt;4,"Por vencer","Al dia")))</f>
        <v>Al dia</v>
      </c>
      <c r="O691" s="19"/>
      <c r="P691" s="2"/>
      <c r="Q691" s="2">
        <f t="shared" si="21"/>
        <v>0</v>
      </c>
    </row>
    <row r="692" spans="3:17" x14ac:dyDescent="0.25">
      <c r="C692" s="13" t="s">
        <v>1661</v>
      </c>
      <c r="D692" s="13" t="s">
        <v>1662</v>
      </c>
      <c r="F692" t="s">
        <v>35</v>
      </c>
      <c r="G692" t="s">
        <v>1663</v>
      </c>
      <c r="H692" s="14">
        <v>4</v>
      </c>
      <c r="I692" s="10" t="s">
        <v>28</v>
      </c>
      <c r="J692" s="1">
        <v>45577</v>
      </c>
      <c r="K692" s="1">
        <v>45609</v>
      </c>
      <c r="L692" s="25">
        <f ca="1">CLIENTES[[#This Row],[Fecha Vencimiento]]-$J$6</f>
        <v>14</v>
      </c>
      <c r="N692" s="1" t="str">
        <f t="shared" ca="1" si="22"/>
        <v>Al dia</v>
      </c>
      <c r="O692" s="19"/>
      <c r="P692" s="2"/>
      <c r="Q692" s="2">
        <f t="shared" si="21"/>
        <v>0</v>
      </c>
    </row>
    <row r="693" spans="3:17" x14ac:dyDescent="0.25">
      <c r="C693" s="13" t="s">
        <v>1664</v>
      </c>
      <c r="D693" s="13" t="s">
        <v>1621</v>
      </c>
      <c r="E693" s="10">
        <v>1154957737</v>
      </c>
      <c r="F693" t="s">
        <v>35</v>
      </c>
      <c r="G693" t="s">
        <v>1665</v>
      </c>
      <c r="H693" s="14">
        <v>6</v>
      </c>
      <c r="I693" s="10" t="s">
        <v>28</v>
      </c>
      <c r="J693" s="1">
        <v>45568</v>
      </c>
      <c r="K693" s="1">
        <v>45599</v>
      </c>
      <c r="L693" s="25">
        <f ca="1">CLIENTES[[#This Row],[Fecha Vencimiento]]-$J$6</f>
        <v>4</v>
      </c>
      <c r="N693" s="1" t="str">
        <f t="shared" ca="1" si="22"/>
        <v>Al dia</v>
      </c>
      <c r="O693" s="19"/>
      <c r="P693" s="2"/>
      <c r="Q693" s="2">
        <f t="shared" si="21"/>
        <v>0</v>
      </c>
    </row>
    <row r="694" spans="3:17" x14ac:dyDescent="0.25">
      <c r="C694" s="13" t="s">
        <v>1666</v>
      </c>
      <c r="D694" s="13" t="s">
        <v>374</v>
      </c>
      <c r="E694" s="10" t="s">
        <v>2931</v>
      </c>
      <c r="F694" t="s">
        <v>35</v>
      </c>
      <c r="G694" t="s">
        <v>1667</v>
      </c>
      <c r="H694" s="14">
        <v>4</v>
      </c>
      <c r="I694" s="10" t="s">
        <v>28</v>
      </c>
      <c r="J694" s="1">
        <v>45564</v>
      </c>
      <c r="K694" s="1">
        <v>45593</v>
      </c>
      <c r="L694" s="25">
        <f ca="1">CLIENTES[[#This Row],[Fecha Vencimiento]]-$J$6</f>
        <v>-2</v>
      </c>
      <c r="N694" s="1" t="str">
        <f t="shared" ca="1" si="22"/>
        <v>Vencido</v>
      </c>
      <c r="O694" s="19"/>
      <c r="P694" s="2"/>
      <c r="Q694" s="2">
        <f t="shared" si="21"/>
        <v>0</v>
      </c>
    </row>
    <row r="695" spans="3:17" x14ac:dyDescent="0.25">
      <c r="C695" s="13" t="s">
        <v>1668</v>
      </c>
      <c r="D695" s="13" t="s">
        <v>1669</v>
      </c>
      <c r="E695" s="10">
        <v>1159765894</v>
      </c>
      <c r="F695" t="s">
        <v>35</v>
      </c>
      <c r="G695" t="s">
        <v>1670</v>
      </c>
      <c r="H695" s="14">
        <v>4</v>
      </c>
      <c r="I695" s="10" t="s">
        <v>28</v>
      </c>
      <c r="J695" s="1">
        <v>45580</v>
      </c>
      <c r="K695" s="1">
        <v>45611</v>
      </c>
      <c r="L695" s="25">
        <f ca="1">CLIENTES[[#This Row],[Fecha Vencimiento]]-$J$6</f>
        <v>16</v>
      </c>
      <c r="N695" s="1" t="str">
        <f t="shared" ca="1" si="22"/>
        <v>Al dia</v>
      </c>
      <c r="O695" s="19"/>
      <c r="P695" s="2"/>
      <c r="Q695" s="2">
        <f t="shared" si="21"/>
        <v>0</v>
      </c>
    </row>
    <row r="696" spans="3:17" x14ac:dyDescent="0.25">
      <c r="C696" s="13" t="s">
        <v>1671</v>
      </c>
      <c r="D696" s="13" t="s">
        <v>1672</v>
      </c>
      <c r="E696" s="10">
        <v>1131462293</v>
      </c>
      <c r="F696" t="s">
        <v>1673</v>
      </c>
      <c r="G696" t="s">
        <v>1674</v>
      </c>
      <c r="H696" s="14">
        <v>2</v>
      </c>
      <c r="I696" s="10" t="s">
        <v>183</v>
      </c>
      <c r="J696" s="1">
        <v>45569</v>
      </c>
      <c r="K696" s="1">
        <v>45603</v>
      </c>
      <c r="L696" s="25">
        <f ca="1">CLIENTES[[#This Row],[Fecha Vencimiento]]-$J$6</f>
        <v>8</v>
      </c>
      <c r="N696" s="1" t="str">
        <f t="shared" ca="1" si="22"/>
        <v>Al dia</v>
      </c>
      <c r="O696" s="19"/>
      <c r="P696" s="2"/>
      <c r="Q696" s="2">
        <f t="shared" si="21"/>
        <v>0</v>
      </c>
    </row>
    <row r="697" spans="3:17" x14ac:dyDescent="0.25">
      <c r="C697" s="13" t="s">
        <v>1675</v>
      </c>
      <c r="D697" s="13" t="s">
        <v>1676</v>
      </c>
      <c r="F697" t="s">
        <v>232</v>
      </c>
      <c r="G697" t="s">
        <v>1677</v>
      </c>
      <c r="H697" s="14">
        <v>4</v>
      </c>
      <c r="I697" s="10" t="s">
        <v>75</v>
      </c>
      <c r="J697" s="1">
        <v>45569</v>
      </c>
      <c r="K697" s="1">
        <v>45608</v>
      </c>
      <c r="L697" s="25">
        <f ca="1">CLIENTES[[#This Row],[Fecha Vencimiento]]-$J$6</f>
        <v>13</v>
      </c>
      <c r="N697" s="1" t="str">
        <f t="shared" ca="1" si="22"/>
        <v>Al dia</v>
      </c>
      <c r="O697" s="19"/>
      <c r="P697" s="2"/>
      <c r="Q697" s="2">
        <f t="shared" si="21"/>
        <v>0</v>
      </c>
    </row>
    <row r="698" spans="3:17" x14ac:dyDescent="0.25">
      <c r="C698" s="13" t="s">
        <v>1678</v>
      </c>
      <c r="D698" s="13" t="s">
        <v>1679</v>
      </c>
      <c r="E698" s="10">
        <v>1144790806</v>
      </c>
      <c r="F698" t="s">
        <v>35</v>
      </c>
      <c r="G698" t="s">
        <v>1680</v>
      </c>
      <c r="H698" s="14">
        <v>4</v>
      </c>
      <c r="I698" s="10" t="s">
        <v>28</v>
      </c>
      <c r="J698" s="1">
        <v>45588</v>
      </c>
      <c r="K698" s="1">
        <v>45621</v>
      </c>
      <c r="L698" s="25">
        <f ca="1">CLIENTES[[#This Row],[Fecha Vencimiento]]-$J$6</f>
        <v>26</v>
      </c>
      <c r="N698" s="1" t="str">
        <f t="shared" ca="1" si="22"/>
        <v>Al dia</v>
      </c>
      <c r="O698" s="19"/>
      <c r="P698" s="2"/>
      <c r="Q698" s="2">
        <f t="shared" si="21"/>
        <v>0</v>
      </c>
    </row>
    <row r="699" spans="3:17" x14ac:dyDescent="0.25">
      <c r="C699" s="13" t="s">
        <v>1678</v>
      </c>
      <c r="D699" s="13" t="s">
        <v>1679</v>
      </c>
      <c r="F699" t="s">
        <v>35</v>
      </c>
      <c r="G699" t="s">
        <v>1681</v>
      </c>
      <c r="I699" s="10" t="s">
        <v>28</v>
      </c>
      <c r="J699" s="1">
        <v>45458</v>
      </c>
      <c r="K699" s="1">
        <v>45488</v>
      </c>
      <c r="L699" s="25">
        <f ca="1">CLIENTES[[#This Row],[Fecha Vencimiento]]-$J$6</f>
        <v>-107</v>
      </c>
      <c r="N699" s="1" t="str">
        <f t="shared" ca="1" si="22"/>
        <v>Vencido</v>
      </c>
      <c r="O699" s="19"/>
      <c r="P699" s="2"/>
      <c r="Q699" s="2">
        <f t="shared" si="21"/>
        <v>0</v>
      </c>
    </row>
    <row r="700" spans="3:17" x14ac:dyDescent="0.25">
      <c r="C700" s="13" t="s">
        <v>1682</v>
      </c>
      <c r="D700" s="13" t="s">
        <v>1683</v>
      </c>
      <c r="F700" t="s">
        <v>35</v>
      </c>
      <c r="G700" t="s">
        <v>1684</v>
      </c>
      <c r="I700" s="10" t="s">
        <v>28</v>
      </c>
      <c r="J700" s="1">
        <v>45455</v>
      </c>
      <c r="K700" s="1">
        <v>45485</v>
      </c>
      <c r="L700" s="25">
        <f ca="1">CLIENTES[[#This Row],[Fecha Vencimiento]]-$J$6</f>
        <v>-110</v>
      </c>
      <c r="N700" s="1" t="str">
        <f t="shared" ca="1" si="22"/>
        <v>Vencido</v>
      </c>
      <c r="O700" s="19"/>
      <c r="P700" s="2"/>
      <c r="Q700" s="2">
        <f t="shared" si="21"/>
        <v>0</v>
      </c>
    </row>
    <row r="701" spans="3:17" x14ac:dyDescent="0.25">
      <c r="C701" s="13" t="s">
        <v>1682</v>
      </c>
      <c r="D701" s="13" t="s">
        <v>1095</v>
      </c>
      <c r="E701" s="10" t="s">
        <v>3106</v>
      </c>
      <c r="F701" t="s">
        <v>35</v>
      </c>
      <c r="G701" t="s">
        <v>1685</v>
      </c>
      <c r="I701" s="10" t="s">
        <v>28</v>
      </c>
      <c r="J701" s="1">
        <v>45503</v>
      </c>
      <c r="K701" s="1">
        <v>45534</v>
      </c>
      <c r="L701" s="25">
        <f ca="1">CLIENTES[[#This Row],[Fecha Vencimiento]]-$J$6</f>
        <v>-61</v>
      </c>
      <c r="N701" s="1" t="str">
        <f t="shared" ca="1" si="22"/>
        <v>Vencido</v>
      </c>
      <c r="O701" s="19"/>
      <c r="P701" s="2"/>
      <c r="Q701" s="2">
        <f t="shared" si="21"/>
        <v>0</v>
      </c>
    </row>
    <row r="702" spans="3:17" x14ac:dyDescent="0.25">
      <c r="C702" s="13" t="s">
        <v>1682</v>
      </c>
      <c r="D702" s="13" t="s">
        <v>1686</v>
      </c>
      <c r="E702" s="10" t="s">
        <v>1028</v>
      </c>
      <c r="F702" t="s">
        <v>35</v>
      </c>
      <c r="G702" t="s">
        <v>1687</v>
      </c>
      <c r="H702" s="14">
        <v>4</v>
      </c>
      <c r="I702" s="10" t="s">
        <v>28</v>
      </c>
      <c r="J702" s="1">
        <v>45555</v>
      </c>
      <c r="K702" s="1">
        <v>45585</v>
      </c>
      <c r="L702" s="25">
        <f ca="1">CLIENTES[[#This Row],[Fecha Vencimiento]]-$J$6</f>
        <v>-10</v>
      </c>
      <c r="N702" s="1" t="str">
        <f t="shared" ca="1" si="22"/>
        <v>Vencido</v>
      </c>
      <c r="O702" s="19"/>
      <c r="P702" s="2"/>
      <c r="Q702" s="2">
        <f t="shared" si="21"/>
        <v>0</v>
      </c>
    </row>
    <row r="703" spans="3:17" x14ac:dyDescent="0.25">
      <c r="C703" s="13" t="s">
        <v>1682</v>
      </c>
      <c r="D703" s="13" t="s">
        <v>1683</v>
      </c>
      <c r="E703" s="10">
        <v>1139285353</v>
      </c>
      <c r="F703" t="s">
        <v>35</v>
      </c>
      <c r="G703" t="s">
        <v>1688</v>
      </c>
      <c r="H703" s="14">
        <v>3</v>
      </c>
      <c r="I703" s="10" t="s">
        <v>28</v>
      </c>
      <c r="J703" s="1">
        <v>45566</v>
      </c>
      <c r="K703" s="1">
        <v>45597</v>
      </c>
      <c r="L703" s="25">
        <f ca="1">CLIENTES[[#This Row],[Fecha Vencimiento]]-$J$6</f>
        <v>2</v>
      </c>
      <c r="N703" s="1" t="str">
        <f t="shared" ca="1" si="22"/>
        <v>Por vencer</v>
      </c>
      <c r="O703" s="19"/>
      <c r="P703" s="2"/>
      <c r="Q703" s="2">
        <f t="shared" si="21"/>
        <v>0</v>
      </c>
    </row>
    <row r="704" spans="3:17" x14ac:dyDescent="0.25">
      <c r="C704" s="13" t="s">
        <v>1689</v>
      </c>
      <c r="D704" s="13" t="s">
        <v>374</v>
      </c>
      <c r="E704" s="10">
        <v>1165417317</v>
      </c>
      <c r="F704" t="s">
        <v>35</v>
      </c>
      <c r="G704" t="s">
        <v>1690</v>
      </c>
      <c r="H704" s="14">
        <v>7</v>
      </c>
      <c r="I704" s="10" t="s">
        <v>28</v>
      </c>
      <c r="J704" s="1">
        <v>45582</v>
      </c>
      <c r="K704" s="1">
        <v>45613</v>
      </c>
      <c r="L704" s="25">
        <f ca="1">CLIENTES[[#This Row],[Fecha Vencimiento]]-$J$6</f>
        <v>18</v>
      </c>
      <c r="N704" s="1" t="str">
        <f t="shared" ca="1" si="22"/>
        <v>Al dia</v>
      </c>
      <c r="O704" s="19"/>
      <c r="P704" s="2"/>
      <c r="Q704" s="2">
        <f t="shared" si="21"/>
        <v>0</v>
      </c>
    </row>
    <row r="705" spans="3:17" x14ac:dyDescent="0.25">
      <c r="C705" s="13" t="s">
        <v>1691</v>
      </c>
      <c r="D705" s="13" t="s">
        <v>1692</v>
      </c>
      <c r="E705" s="10">
        <v>1144183692</v>
      </c>
      <c r="F705" t="s">
        <v>159</v>
      </c>
      <c r="G705" t="s">
        <v>1693</v>
      </c>
      <c r="H705" s="14">
        <v>7</v>
      </c>
      <c r="I705" s="10" t="s">
        <v>183</v>
      </c>
      <c r="J705" s="1">
        <v>45577</v>
      </c>
      <c r="K705" s="1">
        <v>45607</v>
      </c>
      <c r="L705" s="25">
        <f ca="1">CLIENTES[[#This Row],[Fecha Vencimiento]]-$J$6</f>
        <v>12</v>
      </c>
      <c r="N705" s="1" t="str">
        <f t="shared" ca="1" si="22"/>
        <v>Al dia</v>
      </c>
      <c r="O705" s="19"/>
      <c r="P705" s="2"/>
      <c r="Q705" s="2">
        <f t="shared" si="21"/>
        <v>0</v>
      </c>
    </row>
    <row r="706" spans="3:17" x14ac:dyDescent="0.25">
      <c r="C706" s="13" t="s">
        <v>1694</v>
      </c>
      <c r="D706" s="13" t="s">
        <v>1695</v>
      </c>
      <c r="E706" s="10">
        <v>1141582756</v>
      </c>
      <c r="F706" t="s">
        <v>159</v>
      </c>
      <c r="G706" t="s">
        <v>1696</v>
      </c>
      <c r="H706" s="14">
        <v>1</v>
      </c>
      <c r="I706" s="10" t="s">
        <v>79</v>
      </c>
      <c r="J706" s="1">
        <v>45589</v>
      </c>
      <c r="K706" s="1">
        <v>45620</v>
      </c>
      <c r="L706" s="25">
        <f ca="1">CLIENTES[[#This Row],[Fecha Vencimiento]]-$J$6</f>
        <v>25</v>
      </c>
      <c r="N706" s="1" t="str">
        <f t="shared" ca="1" si="22"/>
        <v>Al dia</v>
      </c>
      <c r="O706" s="19">
        <v>45589</v>
      </c>
      <c r="P706" s="2">
        <v>78000</v>
      </c>
      <c r="Q706" s="2">
        <f t="shared" si="21"/>
        <v>32411</v>
      </c>
    </row>
    <row r="707" spans="3:17" x14ac:dyDescent="0.25">
      <c r="C707" s="13" t="s">
        <v>1697</v>
      </c>
      <c r="D707" s="13" t="s">
        <v>1672</v>
      </c>
      <c r="E707" s="10">
        <v>1161084706</v>
      </c>
      <c r="F707" t="s">
        <v>35</v>
      </c>
      <c r="G707" t="s">
        <v>1698</v>
      </c>
      <c r="H707" s="14">
        <v>7</v>
      </c>
      <c r="I707" s="10" t="s">
        <v>28</v>
      </c>
      <c r="J707" s="1">
        <v>45590</v>
      </c>
      <c r="K707" s="1">
        <v>45598</v>
      </c>
      <c r="L707" s="25">
        <f ca="1">CLIENTES[[#This Row],[Fecha Vencimiento]]-$J$6</f>
        <v>3</v>
      </c>
      <c r="N707" s="1" t="str">
        <f t="shared" ca="1" si="22"/>
        <v>Por vencer</v>
      </c>
      <c r="O707" s="19">
        <v>45567</v>
      </c>
      <c r="P707" s="2"/>
      <c r="Q707" s="2">
        <f t="shared" si="21"/>
        <v>-45567</v>
      </c>
    </row>
    <row r="708" spans="3:17" x14ac:dyDescent="0.25">
      <c r="C708" s="13" t="s">
        <v>1697</v>
      </c>
      <c r="D708" s="13" t="s">
        <v>1699</v>
      </c>
      <c r="E708" s="10" t="s">
        <v>1028</v>
      </c>
      <c r="F708" t="s">
        <v>232</v>
      </c>
      <c r="G708" t="s">
        <v>1700</v>
      </c>
      <c r="H708" s="14">
        <v>5</v>
      </c>
      <c r="I708" s="10" t="s">
        <v>183</v>
      </c>
      <c r="J708" s="1">
        <v>45586</v>
      </c>
      <c r="K708" s="1">
        <v>45614</v>
      </c>
      <c r="L708" s="25">
        <f ca="1">CLIENTES[[#This Row],[Fecha Vencimiento]]-$J$6</f>
        <v>19</v>
      </c>
      <c r="N708" s="1" t="str">
        <f t="shared" ca="1" si="22"/>
        <v>Al dia</v>
      </c>
      <c r="O708" s="19"/>
      <c r="P708" s="2"/>
      <c r="Q708" s="2">
        <f t="shared" si="21"/>
        <v>0</v>
      </c>
    </row>
    <row r="709" spans="3:17" x14ac:dyDescent="0.25">
      <c r="C709" s="13" t="s">
        <v>1701</v>
      </c>
      <c r="D709" s="13" t="s">
        <v>1702</v>
      </c>
      <c r="E709" s="10" t="s">
        <v>2931</v>
      </c>
      <c r="F709" t="s">
        <v>35</v>
      </c>
      <c r="G709" t="s">
        <v>1703</v>
      </c>
      <c r="H709" s="14">
        <v>4</v>
      </c>
      <c r="I709" s="10" t="s">
        <v>28</v>
      </c>
      <c r="J709" s="1">
        <v>45579</v>
      </c>
      <c r="K709" s="1">
        <v>45608</v>
      </c>
      <c r="L709" s="25">
        <f ca="1">CLIENTES[[#This Row],[Fecha Vencimiento]]-$J$6</f>
        <v>13</v>
      </c>
      <c r="N709" s="1" t="str">
        <f t="shared" ca="1" si="22"/>
        <v>Al dia</v>
      </c>
      <c r="O709" s="19"/>
      <c r="P709" s="2"/>
      <c r="Q709" s="2">
        <f t="shared" si="21"/>
        <v>0</v>
      </c>
    </row>
    <row r="710" spans="3:17" x14ac:dyDescent="0.25">
      <c r="C710" s="13" t="s">
        <v>1701</v>
      </c>
      <c r="D710" s="13" t="s">
        <v>1704</v>
      </c>
      <c r="E710" s="10">
        <v>1121592670</v>
      </c>
      <c r="F710" t="s">
        <v>35</v>
      </c>
      <c r="G710" t="s">
        <v>1705</v>
      </c>
      <c r="H710" s="14">
        <v>4</v>
      </c>
      <c r="I710" s="10" t="s">
        <v>28</v>
      </c>
      <c r="J710" s="1">
        <v>45546</v>
      </c>
      <c r="K710" s="1">
        <v>45575</v>
      </c>
      <c r="L710" s="25">
        <f ca="1">CLIENTES[[#This Row],[Fecha Vencimiento]]-$J$6</f>
        <v>-20</v>
      </c>
      <c r="N710" s="1" t="str">
        <f t="shared" ca="1" si="22"/>
        <v>Vencido</v>
      </c>
      <c r="O710" s="19"/>
      <c r="P710" s="2"/>
      <c r="Q710" s="2">
        <f t="shared" si="21"/>
        <v>0</v>
      </c>
    </row>
    <row r="711" spans="3:17" x14ac:dyDescent="0.25">
      <c r="C711" s="13" t="s">
        <v>1701</v>
      </c>
      <c r="D711" s="13" t="s">
        <v>1704</v>
      </c>
      <c r="E711" s="10">
        <v>1121592670</v>
      </c>
      <c r="F711" t="s">
        <v>35</v>
      </c>
      <c r="G711" t="s">
        <v>1706</v>
      </c>
      <c r="H711" s="14">
        <v>1</v>
      </c>
      <c r="I711" s="10" t="s">
        <v>28</v>
      </c>
      <c r="J711" s="1">
        <v>45579</v>
      </c>
      <c r="K711" s="1">
        <v>45607</v>
      </c>
      <c r="L711" s="25">
        <f ca="1">CLIENTES[[#This Row],[Fecha Vencimiento]]-$J$6</f>
        <v>12</v>
      </c>
      <c r="N711" s="1" t="str">
        <f t="shared" ca="1" si="22"/>
        <v>Al dia</v>
      </c>
      <c r="O711" s="19">
        <v>45546</v>
      </c>
      <c r="P711" s="2"/>
      <c r="Q711" s="2">
        <f t="shared" si="21"/>
        <v>-45546</v>
      </c>
    </row>
    <row r="712" spans="3:17" x14ac:dyDescent="0.25">
      <c r="C712" s="13" t="s">
        <v>1707</v>
      </c>
      <c r="D712" s="13" t="s">
        <v>1708</v>
      </c>
      <c r="E712" s="10">
        <v>1123377403</v>
      </c>
      <c r="F712" t="s">
        <v>35</v>
      </c>
      <c r="G712" t="s">
        <v>1709</v>
      </c>
      <c r="H712" s="14">
        <v>2</v>
      </c>
      <c r="I712" s="10" t="s">
        <v>28</v>
      </c>
      <c r="J712" s="1">
        <v>45588</v>
      </c>
      <c r="K712" s="1">
        <v>45619</v>
      </c>
      <c r="L712" s="25">
        <f ca="1">CLIENTES[[#This Row],[Fecha Vencimiento]]-$J$6</f>
        <v>24</v>
      </c>
      <c r="N712" s="1" t="str">
        <f t="shared" ca="1" si="22"/>
        <v>Al dia</v>
      </c>
      <c r="O712" s="19">
        <v>45558</v>
      </c>
      <c r="P712" s="2"/>
      <c r="Q712" s="2">
        <f t="shared" ref="Q712:Q775" si="23">P712-O712</f>
        <v>-45558</v>
      </c>
    </row>
    <row r="713" spans="3:17" x14ac:dyDescent="0.25">
      <c r="C713" s="13" t="s">
        <v>1710</v>
      </c>
      <c r="D713" s="13" t="s">
        <v>1711</v>
      </c>
      <c r="E713" s="10">
        <v>1131387150</v>
      </c>
      <c r="F713" t="s">
        <v>35</v>
      </c>
      <c r="G713" t="s">
        <v>1712</v>
      </c>
      <c r="H713" s="14">
        <v>1</v>
      </c>
      <c r="I713" s="10" t="s">
        <v>28</v>
      </c>
      <c r="J713" s="1">
        <v>45579</v>
      </c>
      <c r="K713" s="1">
        <v>45610</v>
      </c>
      <c r="L713" s="25">
        <f ca="1">CLIENTES[[#This Row],[Fecha Vencimiento]]-$J$6</f>
        <v>15</v>
      </c>
      <c r="N713" s="1" t="str">
        <f t="shared" ca="1" si="22"/>
        <v>Al dia</v>
      </c>
      <c r="O713" s="19"/>
      <c r="P713" s="2"/>
      <c r="Q713" s="2">
        <f t="shared" si="23"/>
        <v>0</v>
      </c>
    </row>
    <row r="714" spans="3:17" x14ac:dyDescent="0.25">
      <c r="C714" s="13" t="s">
        <v>1713</v>
      </c>
      <c r="D714" s="13" t="s">
        <v>1714</v>
      </c>
      <c r="E714" s="10" t="s">
        <v>3106</v>
      </c>
      <c r="F714" t="s">
        <v>35</v>
      </c>
      <c r="G714" t="s">
        <v>1715</v>
      </c>
      <c r="H714" s="14">
        <v>3</v>
      </c>
      <c r="I714" s="10" t="s">
        <v>28</v>
      </c>
      <c r="J714" s="1">
        <v>45528</v>
      </c>
      <c r="K714" s="1">
        <v>45538</v>
      </c>
      <c r="L714" s="25">
        <f ca="1">CLIENTES[[#This Row],[Fecha Vencimiento]]-$J$6</f>
        <v>-57</v>
      </c>
      <c r="N714" s="1" t="str">
        <f t="shared" ca="1" si="22"/>
        <v>Vencido</v>
      </c>
      <c r="O714" s="19"/>
      <c r="P714" s="2"/>
      <c r="Q714" s="2">
        <f t="shared" si="23"/>
        <v>0</v>
      </c>
    </row>
    <row r="715" spans="3:17" ht="30" x14ac:dyDescent="0.25">
      <c r="C715" s="13" t="s">
        <v>1716</v>
      </c>
      <c r="D715" s="33" t="s">
        <v>1717</v>
      </c>
      <c r="E715" s="10">
        <v>1154964050</v>
      </c>
      <c r="F715" t="s">
        <v>35</v>
      </c>
      <c r="G715" t="s">
        <v>1718</v>
      </c>
      <c r="H715" s="14">
        <v>3</v>
      </c>
      <c r="I715" s="10" t="s">
        <v>28</v>
      </c>
      <c r="J715" s="1">
        <v>45565</v>
      </c>
      <c r="K715" s="1">
        <v>45596</v>
      </c>
      <c r="L715" s="25">
        <f ca="1">CLIENTES[[#This Row],[Fecha Vencimiento]]-$J$6</f>
        <v>1</v>
      </c>
      <c r="N715" s="1" t="str">
        <f t="shared" ca="1" si="22"/>
        <v>Por vencer</v>
      </c>
      <c r="O715" s="19"/>
      <c r="P715" s="2"/>
      <c r="Q715" s="2">
        <f t="shared" si="23"/>
        <v>0</v>
      </c>
    </row>
    <row r="716" spans="3:17" x14ac:dyDescent="0.25">
      <c r="C716" s="13" t="s">
        <v>1719</v>
      </c>
      <c r="D716" s="13" t="s">
        <v>1720</v>
      </c>
      <c r="E716" s="10">
        <v>1162138239</v>
      </c>
      <c r="F716" t="s">
        <v>35</v>
      </c>
      <c r="G716" t="s">
        <v>1721</v>
      </c>
      <c r="H716" s="14">
        <v>2</v>
      </c>
      <c r="I716" s="10" t="s">
        <v>28</v>
      </c>
      <c r="J716" s="1">
        <v>45542</v>
      </c>
      <c r="K716" s="1">
        <v>45558</v>
      </c>
      <c r="L716" s="25">
        <f ca="1">CLIENTES[[#This Row],[Fecha Vencimiento]]-$J$6</f>
        <v>-37</v>
      </c>
      <c r="N716" s="1" t="str">
        <f t="shared" ca="1" si="22"/>
        <v>Vencido</v>
      </c>
      <c r="O716" s="19"/>
      <c r="P716" s="2"/>
      <c r="Q716" s="2">
        <f t="shared" si="23"/>
        <v>0</v>
      </c>
    </row>
    <row r="717" spans="3:17" x14ac:dyDescent="0.25">
      <c r="C717" s="13" t="s">
        <v>1719</v>
      </c>
      <c r="D717" s="13" t="s">
        <v>51</v>
      </c>
      <c r="F717" t="s">
        <v>232</v>
      </c>
      <c r="G717" t="s">
        <v>1722</v>
      </c>
      <c r="H717" s="14">
        <v>3</v>
      </c>
      <c r="I717" s="10" t="s">
        <v>183</v>
      </c>
      <c r="J717" s="1">
        <v>45523</v>
      </c>
      <c r="K717" s="1">
        <v>45553</v>
      </c>
      <c r="L717" s="25">
        <f ca="1">CLIENTES[[#This Row],[Fecha Vencimiento]]-$J$6</f>
        <v>-42</v>
      </c>
      <c r="N717" s="1" t="str">
        <f t="shared" ca="1" si="22"/>
        <v>Vencido</v>
      </c>
      <c r="O717" s="19"/>
      <c r="P717" s="2"/>
      <c r="Q717" s="2">
        <f t="shared" si="23"/>
        <v>0</v>
      </c>
    </row>
    <row r="718" spans="3:17" x14ac:dyDescent="0.25">
      <c r="C718" s="13" t="s">
        <v>1719</v>
      </c>
      <c r="D718" s="13" t="s">
        <v>1723</v>
      </c>
      <c r="E718" s="10">
        <v>1133188144</v>
      </c>
      <c r="F718" t="s">
        <v>35</v>
      </c>
      <c r="G718" t="s">
        <v>1724</v>
      </c>
      <c r="H718" s="14">
        <v>3</v>
      </c>
      <c r="I718" s="10" t="s">
        <v>28</v>
      </c>
      <c r="J718" s="1">
        <v>45577</v>
      </c>
      <c r="K718" s="1">
        <v>45606</v>
      </c>
      <c r="L718" s="25">
        <f ca="1">CLIENTES[[#This Row],[Fecha Vencimiento]]-$J$6</f>
        <v>11</v>
      </c>
      <c r="N718" s="1" t="str">
        <f t="shared" ca="1" si="22"/>
        <v>Al dia</v>
      </c>
      <c r="O718" s="19"/>
      <c r="P718" s="2"/>
      <c r="Q718" s="2">
        <f t="shared" si="23"/>
        <v>0</v>
      </c>
    </row>
    <row r="719" spans="3:17" x14ac:dyDescent="0.25">
      <c r="C719" s="13" t="s">
        <v>1719</v>
      </c>
      <c r="D719" s="13" t="s">
        <v>1178</v>
      </c>
      <c r="F719" t="s">
        <v>35</v>
      </c>
      <c r="G719" t="s">
        <v>1725</v>
      </c>
      <c r="I719" s="10" t="s">
        <v>28</v>
      </c>
      <c r="J719" s="1">
        <v>45486</v>
      </c>
      <c r="K719" s="1">
        <v>45517</v>
      </c>
      <c r="L719" s="25">
        <f ca="1">CLIENTES[[#This Row],[Fecha Vencimiento]]-$J$6</f>
        <v>-78</v>
      </c>
      <c r="N719" s="1" t="str">
        <f t="shared" ca="1" si="22"/>
        <v>Vencido</v>
      </c>
      <c r="O719" s="19"/>
      <c r="P719" s="2"/>
      <c r="Q719" s="2">
        <f t="shared" si="23"/>
        <v>0</v>
      </c>
    </row>
    <row r="720" spans="3:17" x14ac:dyDescent="0.25">
      <c r="C720" s="13" t="s">
        <v>1726</v>
      </c>
      <c r="D720" s="13" t="s">
        <v>1727</v>
      </c>
      <c r="E720" s="10" t="s">
        <v>3107</v>
      </c>
      <c r="F720" t="s">
        <v>35</v>
      </c>
      <c r="G720" t="s">
        <v>1728</v>
      </c>
      <c r="H720" s="14">
        <v>3</v>
      </c>
      <c r="I720" s="10" t="s">
        <v>28</v>
      </c>
      <c r="J720" s="1">
        <v>45570</v>
      </c>
      <c r="K720" s="1">
        <v>45606</v>
      </c>
      <c r="L720" s="25">
        <f ca="1">CLIENTES[[#This Row],[Fecha Vencimiento]]-$J$6</f>
        <v>11</v>
      </c>
      <c r="N720" s="1" t="str">
        <f t="shared" ca="1" si="22"/>
        <v>Al dia</v>
      </c>
      <c r="O720" s="19"/>
      <c r="P720" s="2"/>
      <c r="Q720" s="2">
        <f t="shared" si="23"/>
        <v>0</v>
      </c>
    </row>
    <row r="721" spans="3:17" x14ac:dyDescent="0.25">
      <c r="C721" s="13" t="s">
        <v>1726</v>
      </c>
      <c r="D721" s="13" t="s">
        <v>1729</v>
      </c>
      <c r="E721" s="10">
        <v>1162585958</v>
      </c>
      <c r="F721" t="s">
        <v>35</v>
      </c>
      <c r="G721" t="s">
        <v>1730</v>
      </c>
      <c r="H721" s="14">
        <v>3</v>
      </c>
      <c r="I721" s="10" t="s">
        <v>28</v>
      </c>
      <c r="J721" s="1">
        <v>45569</v>
      </c>
      <c r="K721" s="1">
        <v>45600</v>
      </c>
      <c r="L721" s="25">
        <f ca="1">CLIENTES[[#This Row],[Fecha Vencimiento]]-$J$6</f>
        <v>5</v>
      </c>
      <c r="N721" s="1" t="str">
        <f t="shared" ca="1" si="22"/>
        <v>Al dia</v>
      </c>
      <c r="O721" s="19"/>
      <c r="P721" s="2"/>
      <c r="Q721" s="2">
        <f t="shared" si="23"/>
        <v>0</v>
      </c>
    </row>
    <row r="722" spans="3:17" x14ac:dyDescent="0.25">
      <c r="C722" s="13" t="s">
        <v>1726</v>
      </c>
      <c r="D722" s="13" t="s">
        <v>1154</v>
      </c>
      <c r="E722" s="10" t="s">
        <v>2931</v>
      </c>
      <c r="F722" t="s">
        <v>26</v>
      </c>
      <c r="G722" t="s">
        <v>1731</v>
      </c>
      <c r="H722" s="14">
        <v>2</v>
      </c>
      <c r="I722" s="10" t="s">
        <v>28</v>
      </c>
      <c r="J722" s="1">
        <v>45580</v>
      </c>
      <c r="K722" s="1">
        <v>45597</v>
      </c>
      <c r="L722" s="25">
        <f ca="1">CLIENTES[[#This Row],[Fecha Vencimiento]]-$J$6</f>
        <v>2</v>
      </c>
      <c r="N722" s="1" t="str">
        <f t="shared" ca="1" si="22"/>
        <v>Por vencer</v>
      </c>
      <c r="O722" s="19"/>
      <c r="P722" s="2"/>
      <c r="Q722" s="2">
        <f t="shared" si="23"/>
        <v>0</v>
      </c>
    </row>
    <row r="723" spans="3:17" x14ac:dyDescent="0.25">
      <c r="C723" s="13" t="s">
        <v>1732</v>
      </c>
      <c r="D723" s="13" t="s">
        <v>1733</v>
      </c>
      <c r="E723" s="10" t="s">
        <v>891</v>
      </c>
      <c r="F723" t="s">
        <v>35</v>
      </c>
      <c r="G723" t="s">
        <v>1734</v>
      </c>
      <c r="H723" s="14">
        <v>4</v>
      </c>
      <c r="I723" s="10" t="s">
        <v>28</v>
      </c>
      <c r="J723" s="1">
        <v>45566</v>
      </c>
      <c r="K723" s="1">
        <v>45594</v>
      </c>
      <c r="L723" s="25">
        <f ca="1">CLIENTES[[#This Row],[Fecha Vencimiento]]-$J$6</f>
        <v>-1</v>
      </c>
      <c r="N723" s="1" t="str">
        <f t="shared" ca="1" si="22"/>
        <v>Vencido</v>
      </c>
      <c r="O723" s="19"/>
      <c r="P723" s="2"/>
      <c r="Q723" s="2">
        <f t="shared" si="23"/>
        <v>0</v>
      </c>
    </row>
    <row r="724" spans="3:17" x14ac:dyDescent="0.25">
      <c r="C724" t="s">
        <v>1735</v>
      </c>
      <c r="D724" t="s">
        <v>1736</v>
      </c>
      <c r="E724" s="10" t="s">
        <v>2931</v>
      </c>
      <c r="G724" s="10" t="s">
        <v>1737</v>
      </c>
      <c r="H724" s="14">
        <v>4</v>
      </c>
      <c r="I724" s="10" t="s">
        <v>28</v>
      </c>
      <c r="J724" s="1">
        <v>45565</v>
      </c>
      <c r="K724" s="1">
        <v>45597</v>
      </c>
      <c r="L724" s="25">
        <f ca="1">CLIENTES[[#This Row],[Fecha Vencimiento]]-$J$6</f>
        <v>2</v>
      </c>
      <c r="N724" s="1" t="str">
        <f t="shared" ca="1" si="22"/>
        <v>Por vencer</v>
      </c>
      <c r="O724" s="19"/>
      <c r="P724" s="2"/>
      <c r="Q724" s="2">
        <f t="shared" si="23"/>
        <v>0</v>
      </c>
    </row>
    <row r="725" spans="3:17" x14ac:dyDescent="0.25">
      <c r="C725" s="13" t="s">
        <v>1738</v>
      </c>
      <c r="D725" s="13" t="s">
        <v>1739</v>
      </c>
      <c r="E725" s="10">
        <v>1160518584</v>
      </c>
      <c r="F725" t="s">
        <v>35</v>
      </c>
      <c r="G725" t="s">
        <v>1740</v>
      </c>
      <c r="H725" s="14">
        <v>1</v>
      </c>
      <c r="I725" s="10" t="s">
        <v>28</v>
      </c>
      <c r="J725" s="1">
        <v>45572</v>
      </c>
      <c r="K725" s="1">
        <v>45603</v>
      </c>
      <c r="L725" s="25">
        <f ca="1">CLIENTES[[#This Row],[Fecha Vencimiento]]-$J$6</f>
        <v>8</v>
      </c>
      <c r="N725" s="1" t="str">
        <f t="shared" ca="1" si="22"/>
        <v>Al dia</v>
      </c>
      <c r="O725" s="19">
        <v>45572</v>
      </c>
      <c r="P725" s="2"/>
      <c r="Q725" s="2">
        <f t="shared" si="23"/>
        <v>-45572</v>
      </c>
    </row>
    <row r="726" spans="3:17" x14ac:dyDescent="0.25">
      <c r="C726" s="13" t="s">
        <v>1741</v>
      </c>
      <c r="D726" s="13" t="s">
        <v>1742</v>
      </c>
      <c r="E726" s="10">
        <v>1134004411</v>
      </c>
      <c r="F726" t="s">
        <v>35</v>
      </c>
      <c r="G726" t="s">
        <v>1743</v>
      </c>
      <c r="H726" s="14">
        <v>2</v>
      </c>
      <c r="I726" s="10" t="s">
        <v>28</v>
      </c>
      <c r="J726" s="1">
        <v>45549</v>
      </c>
      <c r="K726" s="1">
        <v>45579</v>
      </c>
      <c r="L726" s="25">
        <f ca="1">CLIENTES[[#This Row],[Fecha Vencimiento]]-$J$6</f>
        <v>-16</v>
      </c>
      <c r="N726" s="1" t="str">
        <f t="shared" ca="1" si="22"/>
        <v>Vencido</v>
      </c>
      <c r="O726" s="19"/>
      <c r="P726" s="2"/>
      <c r="Q726" s="2">
        <f t="shared" si="23"/>
        <v>0</v>
      </c>
    </row>
    <row r="727" spans="3:17" x14ac:dyDescent="0.25">
      <c r="C727" s="13" t="s">
        <v>1744</v>
      </c>
      <c r="D727" s="13" t="s">
        <v>1745</v>
      </c>
      <c r="E727" s="10">
        <v>1169005374</v>
      </c>
      <c r="F727" t="s">
        <v>35</v>
      </c>
      <c r="G727" t="s">
        <v>1746</v>
      </c>
      <c r="H727" s="14">
        <v>2</v>
      </c>
      <c r="I727" s="10" t="s">
        <v>28</v>
      </c>
      <c r="J727" s="1">
        <v>45582</v>
      </c>
      <c r="K727" s="1">
        <v>45613</v>
      </c>
      <c r="L727" s="25">
        <f ca="1">CLIENTES[[#This Row],[Fecha Vencimiento]]-$J$6</f>
        <v>18</v>
      </c>
      <c r="N727" s="1" t="str">
        <f t="shared" ca="1" si="22"/>
        <v>Al dia</v>
      </c>
      <c r="O727" s="19">
        <v>45552</v>
      </c>
      <c r="P727" s="2"/>
      <c r="Q727" s="2">
        <f t="shared" si="23"/>
        <v>-45552</v>
      </c>
    </row>
    <row r="728" spans="3:17" x14ac:dyDescent="0.25">
      <c r="C728" s="13" t="s">
        <v>1747</v>
      </c>
      <c r="D728" s="13" t="s">
        <v>1748</v>
      </c>
      <c r="E728" s="10" t="s">
        <v>2931</v>
      </c>
      <c r="F728" t="s">
        <v>35</v>
      </c>
      <c r="G728" t="s">
        <v>1749</v>
      </c>
      <c r="I728" s="10" t="s">
        <v>28</v>
      </c>
      <c r="J728" s="1">
        <v>45524</v>
      </c>
      <c r="K728" s="1">
        <v>45546</v>
      </c>
      <c r="L728" s="25">
        <f ca="1">CLIENTES[[#This Row],[Fecha Vencimiento]]-$J$6</f>
        <v>-49</v>
      </c>
      <c r="N728" s="1" t="str">
        <f t="shared" ca="1" si="22"/>
        <v>Vencido</v>
      </c>
      <c r="O728" s="19">
        <v>2</v>
      </c>
      <c r="P728" s="2"/>
      <c r="Q728" s="2">
        <f t="shared" si="23"/>
        <v>-2</v>
      </c>
    </row>
    <row r="729" spans="3:17" x14ac:dyDescent="0.25">
      <c r="C729" s="13" t="s">
        <v>1750</v>
      </c>
      <c r="D729" s="13" t="s">
        <v>1020</v>
      </c>
      <c r="E729" s="10">
        <v>1151372110</v>
      </c>
      <c r="F729" t="s">
        <v>35</v>
      </c>
      <c r="G729" t="s">
        <v>1751</v>
      </c>
      <c r="I729" s="10" t="s">
        <v>28</v>
      </c>
      <c r="J729" s="1">
        <v>45552</v>
      </c>
      <c r="K729" s="1">
        <v>45580</v>
      </c>
      <c r="L729" s="25">
        <f ca="1">CLIENTES[[#This Row],[Fecha Vencimiento]]-$J$6</f>
        <v>-15</v>
      </c>
      <c r="N729" s="1" t="str">
        <f t="shared" ca="1" si="22"/>
        <v>Vencido</v>
      </c>
      <c r="O729" s="19"/>
      <c r="P729" s="2"/>
      <c r="Q729" s="2">
        <f t="shared" si="23"/>
        <v>0</v>
      </c>
    </row>
    <row r="730" spans="3:17" x14ac:dyDescent="0.25">
      <c r="C730" s="13" t="s">
        <v>1750</v>
      </c>
      <c r="D730" s="13" t="s">
        <v>550</v>
      </c>
      <c r="E730" s="10">
        <v>1121762938</v>
      </c>
      <c r="F730" t="s">
        <v>35</v>
      </c>
      <c r="G730" t="s">
        <v>1752</v>
      </c>
      <c r="H730" s="14">
        <v>3</v>
      </c>
      <c r="I730" s="10" t="s">
        <v>28</v>
      </c>
      <c r="J730" s="1">
        <v>45584</v>
      </c>
      <c r="K730" s="1">
        <v>45615</v>
      </c>
      <c r="L730" s="25">
        <f ca="1">CLIENTES[[#This Row],[Fecha Vencimiento]]-$J$6</f>
        <v>20</v>
      </c>
      <c r="N730" s="1" t="str">
        <f t="shared" ca="1" si="22"/>
        <v>Al dia</v>
      </c>
      <c r="O730" s="19"/>
      <c r="P730" s="2"/>
      <c r="Q730" s="2">
        <f t="shared" si="23"/>
        <v>0</v>
      </c>
    </row>
    <row r="731" spans="3:17" x14ac:dyDescent="0.25">
      <c r="C731" s="13" t="s">
        <v>1750</v>
      </c>
      <c r="D731" s="13" t="s">
        <v>1753</v>
      </c>
      <c r="E731" s="10">
        <v>1164187734</v>
      </c>
      <c r="F731" t="s">
        <v>35</v>
      </c>
      <c r="G731" t="s">
        <v>1754</v>
      </c>
      <c r="H731" s="14">
        <v>1</v>
      </c>
      <c r="I731" s="10" t="s">
        <v>28</v>
      </c>
      <c r="J731" s="1">
        <v>45559</v>
      </c>
      <c r="K731" s="1">
        <v>45589</v>
      </c>
      <c r="L731" s="25">
        <f ca="1">CLIENTES[[#This Row],[Fecha Vencimiento]]-$J$6</f>
        <v>-6</v>
      </c>
      <c r="N731" s="1" t="str">
        <f t="shared" ca="1" si="22"/>
        <v>Vencido</v>
      </c>
      <c r="O731" s="19">
        <v>45559</v>
      </c>
      <c r="P731" s="2"/>
      <c r="Q731" s="2">
        <f t="shared" si="23"/>
        <v>-45559</v>
      </c>
    </row>
    <row r="732" spans="3:17" x14ac:dyDescent="0.25">
      <c r="C732" s="13" t="s">
        <v>1750</v>
      </c>
      <c r="D732" s="13" t="s">
        <v>1755</v>
      </c>
      <c r="E732" s="10">
        <v>1125744329</v>
      </c>
      <c r="F732" t="s">
        <v>35</v>
      </c>
      <c r="G732" t="s">
        <v>1756</v>
      </c>
      <c r="H732" s="14">
        <v>4</v>
      </c>
      <c r="I732" s="10" t="s">
        <v>28</v>
      </c>
      <c r="J732" s="1">
        <v>45594</v>
      </c>
      <c r="K732" s="1">
        <v>45619</v>
      </c>
      <c r="L732" s="25">
        <f ca="1">CLIENTES[[#This Row],[Fecha Vencimiento]]-$J$6</f>
        <v>24</v>
      </c>
      <c r="N732" s="1" t="str">
        <f t="shared" ca="1" si="22"/>
        <v>Al dia</v>
      </c>
      <c r="O732" s="19"/>
      <c r="P732" s="2"/>
      <c r="Q732" s="2">
        <f t="shared" si="23"/>
        <v>0</v>
      </c>
    </row>
    <row r="733" spans="3:17" x14ac:dyDescent="0.25">
      <c r="C733" s="13" t="s">
        <v>1750</v>
      </c>
      <c r="D733" s="13" t="s">
        <v>769</v>
      </c>
      <c r="F733" t="s">
        <v>35</v>
      </c>
      <c r="G733" t="s">
        <v>1757</v>
      </c>
      <c r="I733" s="10" t="s">
        <v>28</v>
      </c>
      <c r="J733" s="1">
        <v>45462</v>
      </c>
      <c r="K733" s="1">
        <v>45492</v>
      </c>
      <c r="L733" s="25">
        <f ca="1">CLIENTES[[#This Row],[Fecha Vencimiento]]-$J$6</f>
        <v>-103</v>
      </c>
      <c r="N733" s="1" t="str">
        <f t="shared" ca="1" si="22"/>
        <v>Vencido</v>
      </c>
      <c r="O733" s="19"/>
      <c r="P733" s="2"/>
      <c r="Q733" s="2">
        <f t="shared" si="23"/>
        <v>0</v>
      </c>
    </row>
    <row r="734" spans="3:17" x14ac:dyDescent="0.25">
      <c r="C734" s="13" t="s">
        <v>1750</v>
      </c>
      <c r="D734" s="13" t="s">
        <v>1758</v>
      </c>
      <c r="F734" t="s">
        <v>35</v>
      </c>
      <c r="G734" t="s">
        <v>1759</v>
      </c>
      <c r="I734" s="10" t="s">
        <v>28</v>
      </c>
      <c r="J734" s="1">
        <v>45469</v>
      </c>
      <c r="K734" s="1">
        <v>45486</v>
      </c>
      <c r="L734" s="25">
        <f ca="1">CLIENTES[[#This Row],[Fecha Vencimiento]]-$J$6</f>
        <v>-109</v>
      </c>
      <c r="N734" s="1" t="str">
        <f t="shared" ca="1" si="22"/>
        <v>Vencido</v>
      </c>
      <c r="O734" s="19"/>
      <c r="P734" s="2"/>
      <c r="Q734" s="2">
        <f t="shared" si="23"/>
        <v>0</v>
      </c>
    </row>
    <row r="735" spans="3:17" x14ac:dyDescent="0.25">
      <c r="C735" s="13" t="s">
        <v>1750</v>
      </c>
      <c r="D735" s="13" t="s">
        <v>1760</v>
      </c>
      <c r="E735" s="10">
        <v>1134977956</v>
      </c>
      <c r="F735" t="s">
        <v>35</v>
      </c>
      <c r="G735" t="s">
        <v>1761</v>
      </c>
      <c r="H735" s="14">
        <v>2</v>
      </c>
      <c r="I735" s="10" t="s">
        <v>28</v>
      </c>
      <c r="J735" s="1">
        <v>45574</v>
      </c>
      <c r="K735" s="1">
        <v>45608</v>
      </c>
      <c r="L735" s="25">
        <f ca="1">CLIENTES[[#This Row],[Fecha Vencimiento]]-$J$6</f>
        <v>13</v>
      </c>
      <c r="N735" s="1" t="str">
        <f t="shared" ca="1" si="22"/>
        <v>Al dia</v>
      </c>
      <c r="O735" s="19"/>
      <c r="P735" s="2"/>
      <c r="Q735" s="2">
        <f t="shared" si="23"/>
        <v>0</v>
      </c>
    </row>
    <row r="736" spans="3:17" x14ac:dyDescent="0.25">
      <c r="C736" s="13" t="s">
        <v>1762</v>
      </c>
      <c r="D736" s="13" t="s">
        <v>1763</v>
      </c>
      <c r="E736" s="10">
        <v>1128958664</v>
      </c>
      <c r="F736" t="s">
        <v>159</v>
      </c>
      <c r="G736" t="s">
        <v>1764</v>
      </c>
      <c r="H736" s="14">
        <v>6</v>
      </c>
      <c r="I736" s="10" t="s">
        <v>183</v>
      </c>
      <c r="J736" s="1">
        <v>45557</v>
      </c>
      <c r="K736" s="1">
        <v>45587</v>
      </c>
      <c r="L736" s="25">
        <f ca="1">CLIENTES[[#This Row],[Fecha Vencimiento]]-$J$6</f>
        <v>-8</v>
      </c>
      <c r="N736" s="1" t="str">
        <f t="shared" ca="1" si="22"/>
        <v>Vencido</v>
      </c>
      <c r="O736" s="19"/>
      <c r="P736" s="2"/>
      <c r="Q736" s="2">
        <f t="shared" si="23"/>
        <v>0</v>
      </c>
    </row>
    <row r="737" spans="3:17" x14ac:dyDescent="0.25">
      <c r="C737" s="13" t="s">
        <v>1765</v>
      </c>
      <c r="D737" s="13" t="s">
        <v>1766</v>
      </c>
      <c r="E737" s="10">
        <v>1151805128</v>
      </c>
      <c r="F737" t="s">
        <v>35</v>
      </c>
      <c r="G737" t="s">
        <v>1767</v>
      </c>
      <c r="H737" s="14">
        <v>3</v>
      </c>
      <c r="I737" s="10" t="s">
        <v>28</v>
      </c>
      <c r="J737" s="1">
        <v>45574</v>
      </c>
      <c r="K737" s="1">
        <v>45605</v>
      </c>
      <c r="L737" s="25">
        <f ca="1">CLIENTES[[#This Row],[Fecha Vencimiento]]-$J$6</f>
        <v>10</v>
      </c>
      <c r="N737" s="1" t="str">
        <f t="shared" ca="1" si="22"/>
        <v>Al dia</v>
      </c>
      <c r="O737" s="19"/>
      <c r="P737" s="2"/>
      <c r="Q737" s="2">
        <f t="shared" si="23"/>
        <v>0</v>
      </c>
    </row>
    <row r="738" spans="3:17" x14ac:dyDescent="0.25">
      <c r="C738" s="13" t="s">
        <v>1765</v>
      </c>
      <c r="D738" s="13" t="s">
        <v>1768</v>
      </c>
      <c r="E738" s="10">
        <v>1149158046</v>
      </c>
      <c r="F738" t="s">
        <v>35</v>
      </c>
      <c r="G738" t="s">
        <v>1769</v>
      </c>
      <c r="H738" s="14">
        <v>3</v>
      </c>
      <c r="I738" s="10" t="s">
        <v>28</v>
      </c>
      <c r="J738" s="1">
        <v>45573</v>
      </c>
      <c r="K738" s="1">
        <v>45603</v>
      </c>
      <c r="L738" s="25">
        <f ca="1">CLIENTES[[#This Row],[Fecha Vencimiento]]-$J$6</f>
        <v>8</v>
      </c>
      <c r="N738" s="1" t="str">
        <f t="shared" ca="1" si="22"/>
        <v>Al dia</v>
      </c>
      <c r="O738" s="19"/>
      <c r="P738" s="2"/>
      <c r="Q738" s="2">
        <f t="shared" si="23"/>
        <v>0</v>
      </c>
    </row>
    <row r="739" spans="3:17" x14ac:dyDescent="0.25">
      <c r="C739" s="13" t="s">
        <v>1765</v>
      </c>
      <c r="D739" s="13" t="s">
        <v>1770</v>
      </c>
      <c r="E739" s="10">
        <v>1136622791</v>
      </c>
      <c r="F739" t="s">
        <v>35</v>
      </c>
      <c r="G739" t="s">
        <v>1771</v>
      </c>
      <c r="H739" s="14">
        <v>4</v>
      </c>
      <c r="I739" s="10" t="s">
        <v>28</v>
      </c>
      <c r="J739" s="1">
        <v>45590</v>
      </c>
      <c r="K739" s="1">
        <v>45621</v>
      </c>
      <c r="L739" s="25">
        <f ca="1">CLIENTES[[#This Row],[Fecha Vencimiento]]-$J$6</f>
        <v>26</v>
      </c>
      <c r="N739" s="1" t="str">
        <f t="shared" ca="1" si="22"/>
        <v>Al dia</v>
      </c>
      <c r="O739" s="19"/>
      <c r="P739" s="2"/>
      <c r="Q739" s="2">
        <f t="shared" si="23"/>
        <v>0</v>
      </c>
    </row>
    <row r="740" spans="3:17" x14ac:dyDescent="0.25">
      <c r="C740" t="s">
        <v>1765</v>
      </c>
      <c r="D740" t="s">
        <v>1772</v>
      </c>
      <c r="E740" s="10">
        <v>1166165241</v>
      </c>
      <c r="F740" t="s">
        <v>35</v>
      </c>
      <c r="G740" t="s">
        <v>1773</v>
      </c>
      <c r="H740" s="14">
        <v>1</v>
      </c>
      <c r="I740" s="10" t="s">
        <v>28</v>
      </c>
      <c r="J740" s="1">
        <v>45566</v>
      </c>
      <c r="K740" s="1">
        <v>45597</v>
      </c>
      <c r="L740" s="25">
        <f ca="1">CLIENTES[[#This Row],[Fecha Vencimiento]]-$J$6</f>
        <v>2</v>
      </c>
      <c r="N740" s="1" t="str">
        <f t="shared" ca="1" si="22"/>
        <v>Por vencer</v>
      </c>
      <c r="O740" s="19">
        <v>45566</v>
      </c>
      <c r="P740" s="2"/>
      <c r="Q740" s="2">
        <f t="shared" si="23"/>
        <v>-45566</v>
      </c>
    </row>
    <row r="741" spans="3:17" x14ac:dyDescent="0.25">
      <c r="C741" s="13" t="s">
        <v>1774</v>
      </c>
      <c r="D741" s="13" t="s">
        <v>1775</v>
      </c>
      <c r="F741" t="s">
        <v>35</v>
      </c>
      <c r="G741" t="s">
        <v>1776</v>
      </c>
      <c r="I741" s="10" t="s">
        <v>28</v>
      </c>
      <c r="J741" s="1">
        <v>45471</v>
      </c>
      <c r="K741" s="1">
        <v>45501</v>
      </c>
      <c r="L741" s="25">
        <f ca="1">CLIENTES[[#This Row],[Fecha Vencimiento]]-$J$6</f>
        <v>-94</v>
      </c>
      <c r="N741" s="1" t="str">
        <f t="shared" ca="1" si="22"/>
        <v>Vencido</v>
      </c>
      <c r="O741" s="19"/>
      <c r="P741" s="2"/>
      <c r="Q741" s="2">
        <f t="shared" si="23"/>
        <v>0</v>
      </c>
    </row>
    <row r="742" spans="3:17" x14ac:dyDescent="0.25">
      <c r="C742" s="13" t="s">
        <v>1777</v>
      </c>
      <c r="D742" s="13" t="s">
        <v>1778</v>
      </c>
      <c r="E742" s="10">
        <v>1140565097</v>
      </c>
      <c r="F742" t="s">
        <v>35</v>
      </c>
      <c r="G742" t="s">
        <v>1779</v>
      </c>
      <c r="H742" s="14">
        <v>4</v>
      </c>
      <c r="I742" s="10" t="s">
        <v>28</v>
      </c>
      <c r="J742" s="1">
        <v>45589</v>
      </c>
      <c r="K742" s="1">
        <v>45606</v>
      </c>
      <c r="L742" s="25">
        <f ca="1">CLIENTES[[#This Row],[Fecha Vencimiento]]-$J$6</f>
        <v>11</v>
      </c>
      <c r="N742" s="1" t="str">
        <f t="shared" ca="1" si="22"/>
        <v>Al dia</v>
      </c>
      <c r="O742" s="19"/>
      <c r="P742" s="2"/>
      <c r="Q742" s="2">
        <f t="shared" si="23"/>
        <v>0</v>
      </c>
    </row>
    <row r="743" spans="3:17" x14ac:dyDescent="0.25">
      <c r="C743" s="13" t="s">
        <v>1777</v>
      </c>
      <c r="D743" s="13" t="s">
        <v>1780</v>
      </c>
      <c r="E743" s="10" t="s">
        <v>2931</v>
      </c>
      <c r="F743" t="s">
        <v>35</v>
      </c>
      <c r="G743" t="s">
        <v>1781</v>
      </c>
      <c r="H743" s="14">
        <v>1</v>
      </c>
      <c r="I743" s="10" t="s">
        <v>28</v>
      </c>
      <c r="J743" s="1">
        <v>45562</v>
      </c>
      <c r="K743" s="1">
        <v>45592</v>
      </c>
      <c r="L743" s="25">
        <f ca="1">CLIENTES[[#This Row],[Fecha Vencimiento]]-$J$6</f>
        <v>-3</v>
      </c>
      <c r="N743" s="1" t="str">
        <f t="shared" ca="1" si="22"/>
        <v>Vencido</v>
      </c>
      <c r="O743" s="19">
        <v>45562</v>
      </c>
      <c r="P743" s="2"/>
      <c r="Q743" s="2">
        <f t="shared" si="23"/>
        <v>-45562</v>
      </c>
    </row>
    <row r="744" spans="3:17" x14ac:dyDescent="0.25">
      <c r="C744" s="13" t="s">
        <v>1782</v>
      </c>
      <c r="D744" s="13" t="s">
        <v>109</v>
      </c>
      <c r="E744" s="10">
        <v>1168322411</v>
      </c>
      <c r="F744" t="s">
        <v>35</v>
      </c>
      <c r="G744" t="s">
        <v>1783</v>
      </c>
      <c r="H744" s="14">
        <v>1</v>
      </c>
      <c r="I744" s="10" t="s">
        <v>28</v>
      </c>
      <c r="J744" s="1">
        <v>45548</v>
      </c>
      <c r="K744" s="1">
        <v>45578</v>
      </c>
      <c r="L744" s="25">
        <f ca="1">CLIENTES[[#This Row],[Fecha Vencimiento]]-$J$6</f>
        <v>-17</v>
      </c>
      <c r="N744" s="1" t="str">
        <f t="shared" ca="1" si="22"/>
        <v>Vencido</v>
      </c>
      <c r="O744" s="19">
        <v>45548</v>
      </c>
      <c r="P744" s="2"/>
      <c r="Q744" s="2">
        <f t="shared" si="23"/>
        <v>-45548</v>
      </c>
    </row>
    <row r="745" spans="3:17" x14ac:dyDescent="0.25">
      <c r="C745" s="13" t="s">
        <v>1784</v>
      </c>
      <c r="D745" s="13" t="s">
        <v>1785</v>
      </c>
      <c r="E745" s="10">
        <v>1138505528</v>
      </c>
      <c r="F745" t="s">
        <v>35</v>
      </c>
      <c r="G745" t="s">
        <v>1786</v>
      </c>
      <c r="H745" s="14">
        <v>5</v>
      </c>
      <c r="I745" s="10" t="s">
        <v>28</v>
      </c>
      <c r="J745" s="1">
        <v>45570</v>
      </c>
      <c r="K745" s="1">
        <v>45624</v>
      </c>
      <c r="L745" s="25">
        <f ca="1">CLIENTES[[#This Row],[Fecha Vencimiento]]-$J$6</f>
        <v>29</v>
      </c>
      <c r="N745" s="1" t="str">
        <f t="shared" ca="1" si="22"/>
        <v>Al dia</v>
      </c>
      <c r="O745" s="19"/>
      <c r="P745" s="2"/>
      <c r="Q745" s="2">
        <f t="shared" si="23"/>
        <v>0</v>
      </c>
    </row>
    <row r="746" spans="3:17" x14ac:dyDescent="0.25">
      <c r="C746" s="13" t="s">
        <v>1784</v>
      </c>
      <c r="D746" s="13" t="s">
        <v>1785</v>
      </c>
      <c r="E746" s="10">
        <v>1138505528</v>
      </c>
      <c r="F746" t="s">
        <v>35</v>
      </c>
      <c r="G746" t="s">
        <v>1787</v>
      </c>
      <c r="H746" s="14">
        <v>1</v>
      </c>
      <c r="I746" s="10" t="s">
        <v>28</v>
      </c>
      <c r="J746" s="1">
        <v>45570</v>
      </c>
      <c r="K746" s="1">
        <v>45601</v>
      </c>
      <c r="L746" s="25">
        <f ca="1">CLIENTES[[#This Row],[Fecha Vencimiento]]-$J$6</f>
        <v>6</v>
      </c>
      <c r="N746" s="1" t="str">
        <f t="shared" ca="1" si="22"/>
        <v>Al dia</v>
      </c>
      <c r="O746" s="19">
        <v>45570</v>
      </c>
      <c r="P746" s="2"/>
      <c r="Q746" s="2">
        <f t="shared" si="23"/>
        <v>-45570</v>
      </c>
    </row>
    <row r="747" spans="3:17" x14ac:dyDescent="0.25">
      <c r="C747" s="13" t="s">
        <v>1788</v>
      </c>
      <c r="D747" s="13" t="s">
        <v>550</v>
      </c>
      <c r="E747" s="10" t="s">
        <v>3125</v>
      </c>
      <c r="F747" t="s">
        <v>35</v>
      </c>
      <c r="G747" t="s">
        <v>1789</v>
      </c>
      <c r="H747" s="14">
        <v>6</v>
      </c>
      <c r="I747" s="10" t="s">
        <v>28</v>
      </c>
      <c r="J747" s="1">
        <v>45540</v>
      </c>
      <c r="K747" s="1">
        <v>45568</v>
      </c>
      <c r="L747" s="25">
        <f ca="1">CLIENTES[[#This Row],[Fecha Vencimiento]]-$J$6</f>
        <v>-27</v>
      </c>
      <c r="N747" s="1" t="str">
        <f t="shared" ca="1" si="22"/>
        <v>Vencido</v>
      </c>
      <c r="O747" s="19"/>
      <c r="P747" s="2"/>
      <c r="Q747" s="2">
        <f t="shared" si="23"/>
        <v>0</v>
      </c>
    </row>
    <row r="748" spans="3:17" x14ac:dyDescent="0.25">
      <c r="C748" s="13" t="s">
        <v>1790</v>
      </c>
      <c r="D748" s="13" t="s">
        <v>1791</v>
      </c>
      <c r="E748" s="10">
        <v>1162741319</v>
      </c>
      <c r="F748" t="s">
        <v>35</v>
      </c>
      <c r="G748" t="s">
        <v>1792</v>
      </c>
      <c r="H748" s="14">
        <v>6</v>
      </c>
      <c r="I748" s="10" t="s">
        <v>28</v>
      </c>
      <c r="J748" s="1">
        <v>45573</v>
      </c>
      <c r="K748" s="1">
        <v>45603</v>
      </c>
      <c r="L748" s="25">
        <f ca="1">CLIENTES[[#This Row],[Fecha Vencimiento]]-$J$6</f>
        <v>8</v>
      </c>
      <c r="N748" s="1" t="str">
        <f t="shared" ca="1" si="22"/>
        <v>Al dia</v>
      </c>
      <c r="O748" s="19"/>
      <c r="P748" s="2"/>
      <c r="Q748" s="2">
        <f t="shared" si="23"/>
        <v>0</v>
      </c>
    </row>
    <row r="749" spans="3:17" x14ac:dyDescent="0.25">
      <c r="C749" s="13" t="s">
        <v>1793</v>
      </c>
      <c r="D749" s="13" t="s">
        <v>1794</v>
      </c>
      <c r="E749" s="10">
        <v>1134106500</v>
      </c>
      <c r="F749" t="s">
        <v>35</v>
      </c>
      <c r="G749" t="s">
        <v>1795</v>
      </c>
      <c r="H749" s="14">
        <v>2</v>
      </c>
      <c r="I749" s="10" t="s">
        <v>28</v>
      </c>
      <c r="J749" s="1">
        <v>45580</v>
      </c>
      <c r="K749" s="1">
        <v>45611</v>
      </c>
      <c r="L749" s="25">
        <f ca="1">CLIENTES[[#This Row],[Fecha Vencimiento]]-$J$6</f>
        <v>16</v>
      </c>
      <c r="N749" s="1" t="str">
        <f t="shared" ca="1" si="22"/>
        <v>Al dia</v>
      </c>
      <c r="O749" s="19"/>
      <c r="P749" s="2"/>
      <c r="Q749" s="2">
        <f t="shared" si="23"/>
        <v>0</v>
      </c>
    </row>
    <row r="750" spans="3:17" x14ac:dyDescent="0.25">
      <c r="C750" s="13" t="s">
        <v>1793</v>
      </c>
      <c r="D750" s="13" t="s">
        <v>1794</v>
      </c>
      <c r="E750" s="10">
        <v>1134106500</v>
      </c>
      <c r="F750" t="s">
        <v>35</v>
      </c>
      <c r="G750" t="s">
        <v>1796</v>
      </c>
      <c r="H750" s="14">
        <v>2</v>
      </c>
      <c r="I750" s="10" t="s">
        <v>28</v>
      </c>
      <c r="J750" s="1">
        <v>45580</v>
      </c>
      <c r="K750" s="1">
        <v>45611</v>
      </c>
      <c r="L750" s="25">
        <f ca="1">CLIENTES[[#This Row],[Fecha Vencimiento]]-$J$6</f>
        <v>16</v>
      </c>
      <c r="N750" s="1" t="str">
        <f t="shared" ca="1" si="22"/>
        <v>Al dia</v>
      </c>
      <c r="O750" s="19"/>
      <c r="P750" s="2"/>
      <c r="Q750" s="2">
        <f t="shared" si="23"/>
        <v>0</v>
      </c>
    </row>
    <row r="751" spans="3:17" x14ac:dyDescent="0.25">
      <c r="C751" s="13" t="s">
        <v>1797</v>
      </c>
      <c r="D751" s="13" t="s">
        <v>1798</v>
      </c>
      <c r="E751" s="10">
        <v>1135148459</v>
      </c>
      <c r="F751" t="s">
        <v>35</v>
      </c>
      <c r="G751" t="s">
        <v>1799</v>
      </c>
      <c r="H751" s="14">
        <v>2</v>
      </c>
      <c r="I751" s="10" t="s">
        <v>28</v>
      </c>
      <c r="J751" s="1">
        <v>45561</v>
      </c>
      <c r="K751" s="1">
        <v>45592</v>
      </c>
      <c r="L751" s="25">
        <f ca="1">CLIENTES[[#This Row],[Fecha Vencimiento]]-$J$6</f>
        <v>-3</v>
      </c>
      <c r="N751" s="1" t="str">
        <f t="shared" ca="1" si="22"/>
        <v>Vencido</v>
      </c>
      <c r="O751" s="19">
        <v>45530</v>
      </c>
      <c r="P751" s="2"/>
      <c r="Q751" s="2">
        <f t="shared" si="23"/>
        <v>-45530</v>
      </c>
    </row>
    <row r="752" spans="3:17" x14ac:dyDescent="0.25">
      <c r="C752" s="13" t="s">
        <v>1800</v>
      </c>
      <c r="D752" s="13" t="s">
        <v>1801</v>
      </c>
      <c r="E752" s="10">
        <v>1169219981</v>
      </c>
      <c r="F752" t="s">
        <v>35</v>
      </c>
      <c r="G752" t="s">
        <v>1802</v>
      </c>
      <c r="H752" s="14">
        <v>23</v>
      </c>
      <c r="I752" s="10" t="s">
        <v>28</v>
      </c>
      <c r="J752" s="1">
        <v>45584</v>
      </c>
      <c r="K752" s="1">
        <v>45612</v>
      </c>
      <c r="L752" s="25">
        <f ca="1">CLIENTES[[#This Row],[Fecha Vencimiento]]-$J$6</f>
        <v>17</v>
      </c>
      <c r="N752" s="1" t="str">
        <f t="shared" ca="1" si="22"/>
        <v>Al dia</v>
      </c>
      <c r="O752" s="19"/>
      <c r="P752" s="2"/>
      <c r="Q752" s="2">
        <f t="shared" si="23"/>
        <v>0</v>
      </c>
    </row>
    <row r="753" spans="3:17" x14ac:dyDescent="0.25">
      <c r="C753" s="13" t="s">
        <v>1803</v>
      </c>
      <c r="D753" s="13" t="s">
        <v>1804</v>
      </c>
      <c r="E753" s="10" t="s">
        <v>3106</v>
      </c>
      <c r="F753" t="s">
        <v>35</v>
      </c>
      <c r="G753" t="s">
        <v>1805</v>
      </c>
      <c r="H753" s="14">
        <v>6</v>
      </c>
      <c r="I753" s="10" t="s">
        <v>28</v>
      </c>
      <c r="J753" s="1">
        <v>45563</v>
      </c>
      <c r="K753" s="1">
        <v>45598</v>
      </c>
      <c r="L753" s="25">
        <f ca="1">CLIENTES[[#This Row],[Fecha Vencimiento]]-$J$6</f>
        <v>3</v>
      </c>
      <c r="N753" s="1" t="str">
        <f t="shared" ca="1" si="22"/>
        <v>Por vencer</v>
      </c>
      <c r="O753" s="19"/>
      <c r="P753" s="2"/>
      <c r="Q753" s="2">
        <f t="shared" si="23"/>
        <v>0</v>
      </c>
    </row>
    <row r="754" spans="3:17" x14ac:dyDescent="0.25">
      <c r="C754" s="13" t="s">
        <v>1806</v>
      </c>
      <c r="D754" s="13" t="s">
        <v>1807</v>
      </c>
      <c r="E754" s="10" t="s">
        <v>3126</v>
      </c>
      <c r="F754" t="s">
        <v>26</v>
      </c>
      <c r="G754" t="s">
        <v>1808</v>
      </c>
      <c r="H754" s="14">
        <v>1</v>
      </c>
      <c r="I754" s="10" t="s">
        <v>28</v>
      </c>
      <c r="J754" s="1">
        <v>45530</v>
      </c>
      <c r="K754" s="1">
        <v>45561</v>
      </c>
      <c r="L754" s="25">
        <f ca="1">CLIENTES[[#This Row],[Fecha Vencimiento]]-$J$6</f>
        <v>-34</v>
      </c>
      <c r="N754" s="1" t="str">
        <f t="shared" ca="1" si="22"/>
        <v>Vencido</v>
      </c>
      <c r="O754" s="19">
        <v>45530</v>
      </c>
      <c r="P754" s="2"/>
      <c r="Q754" s="2">
        <f t="shared" si="23"/>
        <v>-45530</v>
      </c>
    </row>
    <row r="755" spans="3:17" x14ac:dyDescent="0.25">
      <c r="C755" s="13" t="s">
        <v>1809</v>
      </c>
      <c r="D755" s="13" t="s">
        <v>1810</v>
      </c>
      <c r="E755" s="10">
        <v>1138900942</v>
      </c>
      <c r="F755" t="s">
        <v>26</v>
      </c>
      <c r="G755" t="s">
        <v>1811</v>
      </c>
      <c r="H755" s="14">
        <v>2</v>
      </c>
      <c r="I755" s="10" t="s">
        <v>28</v>
      </c>
      <c r="J755" s="1">
        <v>45590</v>
      </c>
      <c r="K755" s="1">
        <v>45612</v>
      </c>
      <c r="L755" s="25">
        <f ca="1">CLIENTES[[#This Row],[Fecha Vencimiento]]-$J$6</f>
        <v>17</v>
      </c>
      <c r="N755" s="1" t="str">
        <f t="shared" ref="N755:N818" ca="1" si="24">IF(L755&lt;0,"Vencido",IF(L755=0,"Vence hoy",IF(L755&lt;4,"Por vencer","Al dia")))</f>
        <v>Al dia</v>
      </c>
      <c r="O755" s="19">
        <v>45551</v>
      </c>
      <c r="P755" s="2"/>
      <c r="Q755" s="2">
        <f t="shared" si="23"/>
        <v>-45551</v>
      </c>
    </row>
    <row r="756" spans="3:17" x14ac:dyDescent="0.25">
      <c r="C756" s="13" t="s">
        <v>1812</v>
      </c>
      <c r="D756" s="13" t="s">
        <v>1813</v>
      </c>
      <c r="E756" s="10">
        <v>1162871909</v>
      </c>
      <c r="F756" t="s">
        <v>159</v>
      </c>
      <c r="G756" t="s">
        <v>1814</v>
      </c>
      <c r="H756" s="14">
        <v>4</v>
      </c>
      <c r="I756" s="10" t="s">
        <v>183</v>
      </c>
      <c r="J756" s="1">
        <v>45572</v>
      </c>
      <c r="K756" s="1">
        <v>45594</v>
      </c>
      <c r="L756" s="25">
        <f ca="1">CLIENTES[[#This Row],[Fecha Vencimiento]]-$J$6</f>
        <v>-1</v>
      </c>
      <c r="N756" s="1" t="str">
        <f t="shared" ca="1" si="24"/>
        <v>Vencido</v>
      </c>
      <c r="O756" s="19"/>
      <c r="P756" s="2"/>
      <c r="Q756" s="2">
        <f t="shared" si="23"/>
        <v>0</v>
      </c>
    </row>
    <row r="757" spans="3:17" x14ac:dyDescent="0.25">
      <c r="C757" s="13" t="s">
        <v>1815</v>
      </c>
      <c r="D757" s="13" t="s">
        <v>1816</v>
      </c>
      <c r="E757" s="10">
        <v>1123429848</v>
      </c>
      <c r="F757" t="s">
        <v>35</v>
      </c>
      <c r="G757" t="s">
        <v>1817</v>
      </c>
      <c r="H757" s="14">
        <v>6</v>
      </c>
      <c r="I757" s="10" t="s">
        <v>28</v>
      </c>
      <c r="J757" s="1">
        <v>45593</v>
      </c>
      <c r="K757" s="1">
        <v>45624</v>
      </c>
      <c r="L757" s="25">
        <f ca="1">CLIENTES[[#This Row],[Fecha Vencimiento]]-$J$6</f>
        <v>29</v>
      </c>
      <c r="N757" s="1" t="str">
        <f t="shared" ca="1" si="24"/>
        <v>Al dia</v>
      </c>
      <c r="O757" s="19"/>
      <c r="P757" s="2"/>
      <c r="Q757" s="2">
        <f t="shared" si="23"/>
        <v>0</v>
      </c>
    </row>
    <row r="758" spans="3:17" x14ac:dyDescent="0.25">
      <c r="C758" s="13" t="s">
        <v>1815</v>
      </c>
      <c r="D758" s="13" t="s">
        <v>1818</v>
      </c>
      <c r="E758" s="10">
        <v>1140704373</v>
      </c>
      <c r="F758" t="s">
        <v>35</v>
      </c>
      <c r="G758" t="s">
        <v>1819</v>
      </c>
      <c r="H758" s="14">
        <v>2</v>
      </c>
      <c r="I758" s="10" t="s">
        <v>28</v>
      </c>
      <c r="J758" s="1">
        <v>45591</v>
      </c>
      <c r="K758" s="1">
        <v>45622</v>
      </c>
      <c r="L758" s="25">
        <f ca="1">CLIENTES[[#This Row],[Fecha Vencimiento]]-$J$6</f>
        <v>27</v>
      </c>
      <c r="N758" s="1" t="str">
        <f t="shared" ca="1" si="24"/>
        <v>Al dia</v>
      </c>
      <c r="O758" s="19">
        <v>45561</v>
      </c>
      <c r="P758" s="2"/>
      <c r="Q758" s="2">
        <f t="shared" si="23"/>
        <v>-45561</v>
      </c>
    </row>
    <row r="759" spans="3:17" x14ac:dyDescent="0.25">
      <c r="C759" s="13" t="s">
        <v>1820</v>
      </c>
      <c r="D759" s="13" t="s">
        <v>1821</v>
      </c>
      <c r="F759" t="s">
        <v>77</v>
      </c>
      <c r="G759" t="s">
        <v>1822</v>
      </c>
      <c r="H759" s="14">
        <v>1</v>
      </c>
      <c r="I759" s="10" t="s">
        <v>79</v>
      </c>
      <c r="J759" s="1">
        <v>45455</v>
      </c>
      <c r="K759" s="1">
        <v>45485</v>
      </c>
      <c r="L759" s="25">
        <f ca="1">CLIENTES[[#This Row],[Fecha Vencimiento]]-$J$6</f>
        <v>-110</v>
      </c>
      <c r="N759" s="1" t="str">
        <f t="shared" ca="1" si="24"/>
        <v>Vencido</v>
      </c>
      <c r="O759" s="19"/>
      <c r="P759" s="2"/>
      <c r="Q759" s="2">
        <f t="shared" si="23"/>
        <v>0</v>
      </c>
    </row>
    <row r="760" spans="3:17" x14ac:dyDescent="0.25">
      <c r="C760" s="13" t="s">
        <v>1823</v>
      </c>
      <c r="D760" s="13" t="s">
        <v>772</v>
      </c>
      <c r="E760" s="10">
        <v>1127293583</v>
      </c>
      <c r="F760" t="s">
        <v>35</v>
      </c>
      <c r="G760" t="s">
        <v>1824</v>
      </c>
      <c r="H760" s="14">
        <v>6</v>
      </c>
      <c r="I760" s="10" t="s">
        <v>28</v>
      </c>
      <c r="J760" s="1">
        <v>45589</v>
      </c>
      <c r="K760" s="1">
        <v>45619</v>
      </c>
      <c r="L760" s="25">
        <f ca="1">CLIENTES[[#This Row],[Fecha Vencimiento]]-$J$6</f>
        <v>24</v>
      </c>
      <c r="N760" s="1" t="str">
        <f t="shared" ca="1" si="24"/>
        <v>Al dia</v>
      </c>
      <c r="O760" s="19"/>
      <c r="P760" s="2"/>
      <c r="Q760" s="2">
        <f t="shared" si="23"/>
        <v>0</v>
      </c>
    </row>
    <row r="761" spans="3:17" x14ac:dyDescent="0.25">
      <c r="C761" s="13" t="s">
        <v>1825</v>
      </c>
      <c r="D761" s="13" t="s">
        <v>1826</v>
      </c>
      <c r="E761" s="10">
        <v>1149743281</v>
      </c>
      <c r="F761" t="s">
        <v>35</v>
      </c>
      <c r="G761" t="s">
        <v>1827</v>
      </c>
      <c r="H761" s="14">
        <v>3</v>
      </c>
      <c r="I761" s="10" t="s">
        <v>28</v>
      </c>
      <c r="J761" s="1">
        <v>45588</v>
      </c>
      <c r="K761" s="1">
        <v>45619</v>
      </c>
      <c r="L761" s="25">
        <f ca="1">CLIENTES[[#This Row],[Fecha Vencimiento]]-$J$6</f>
        <v>24</v>
      </c>
      <c r="N761" s="1" t="str">
        <f t="shared" ca="1" si="24"/>
        <v>Al dia</v>
      </c>
      <c r="O761" s="19"/>
      <c r="P761" s="2"/>
      <c r="Q761" s="2">
        <f t="shared" si="23"/>
        <v>0</v>
      </c>
    </row>
    <row r="762" spans="3:17" x14ac:dyDescent="0.25">
      <c r="C762" s="13" t="s">
        <v>1825</v>
      </c>
      <c r="D762" s="13" t="s">
        <v>1828</v>
      </c>
      <c r="E762" s="10">
        <v>1123312458</v>
      </c>
      <c r="F762" t="s">
        <v>35</v>
      </c>
      <c r="G762" t="s">
        <v>1829</v>
      </c>
      <c r="H762" s="14">
        <v>1</v>
      </c>
      <c r="I762" s="10" t="s">
        <v>28</v>
      </c>
      <c r="J762" s="1">
        <v>45558</v>
      </c>
      <c r="K762" s="1">
        <v>45588</v>
      </c>
      <c r="L762" s="25">
        <f ca="1">CLIENTES[[#This Row],[Fecha Vencimiento]]-$J$6</f>
        <v>-7</v>
      </c>
      <c r="N762" s="1" t="str">
        <f t="shared" ca="1" si="24"/>
        <v>Vencido</v>
      </c>
      <c r="O762" s="19">
        <v>45558</v>
      </c>
      <c r="P762" s="2"/>
      <c r="Q762" s="2">
        <f t="shared" si="23"/>
        <v>-45558</v>
      </c>
    </row>
    <row r="763" spans="3:17" x14ac:dyDescent="0.25">
      <c r="C763" s="13" t="s">
        <v>1825</v>
      </c>
      <c r="D763" s="13" t="s">
        <v>1828</v>
      </c>
      <c r="F763" t="s">
        <v>35</v>
      </c>
      <c r="G763" t="s">
        <v>1830</v>
      </c>
      <c r="I763" s="10" t="s">
        <v>28</v>
      </c>
      <c r="J763" s="1">
        <v>45510</v>
      </c>
      <c r="K763" s="1">
        <v>45543</v>
      </c>
      <c r="L763" s="25">
        <f ca="1">CLIENTES[[#This Row],[Fecha Vencimiento]]-$J$6</f>
        <v>-52</v>
      </c>
      <c r="N763" s="1" t="str">
        <f t="shared" ca="1" si="24"/>
        <v>Vencido</v>
      </c>
      <c r="O763" s="19"/>
      <c r="P763" s="2"/>
      <c r="Q763" s="2">
        <f t="shared" si="23"/>
        <v>0</v>
      </c>
    </row>
    <row r="764" spans="3:17" x14ac:dyDescent="0.25">
      <c r="C764" s="13" t="s">
        <v>1825</v>
      </c>
      <c r="D764" s="13" t="s">
        <v>1831</v>
      </c>
      <c r="E764" s="10">
        <v>1140585651</v>
      </c>
      <c r="F764" t="s">
        <v>35</v>
      </c>
      <c r="G764" t="s">
        <v>1832</v>
      </c>
      <c r="H764" s="14">
        <v>6</v>
      </c>
      <c r="I764" s="10" t="s">
        <v>28</v>
      </c>
      <c r="J764" s="1">
        <v>45588</v>
      </c>
      <c r="K764" s="1">
        <v>45612</v>
      </c>
      <c r="L764" s="25">
        <f ca="1">CLIENTES[[#This Row],[Fecha Vencimiento]]-$J$6</f>
        <v>17</v>
      </c>
      <c r="N764" s="1" t="str">
        <f t="shared" ca="1" si="24"/>
        <v>Al dia</v>
      </c>
      <c r="O764" s="19"/>
      <c r="P764" s="2"/>
      <c r="Q764" s="2">
        <f t="shared" si="23"/>
        <v>0</v>
      </c>
    </row>
    <row r="765" spans="3:17" x14ac:dyDescent="0.25">
      <c r="C765" s="13" t="s">
        <v>1833</v>
      </c>
      <c r="D765" s="13" t="s">
        <v>1834</v>
      </c>
      <c r="E765" s="10" t="s">
        <v>2931</v>
      </c>
      <c r="F765" t="s">
        <v>35</v>
      </c>
      <c r="G765" t="s">
        <v>1835</v>
      </c>
      <c r="H765" s="14">
        <v>4</v>
      </c>
      <c r="I765" s="10" t="s">
        <v>28</v>
      </c>
      <c r="J765" s="1">
        <v>45541</v>
      </c>
      <c r="K765" s="1">
        <v>45563</v>
      </c>
      <c r="L765" s="25">
        <f ca="1">CLIENTES[[#This Row],[Fecha Vencimiento]]-$J$6</f>
        <v>-32</v>
      </c>
      <c r="N765" s="1" t="str">
        <f t="shared" ca="1" si="24"/>
        <v>Vencido</v>
      </c>
      <c r="O765" s="19"/>
      <c r="P765" s="2"/>
      <c r="Q765" s="2">
        <f t="shared" si="23"/>
        <v>0</v>
      </c>
    </row>
    <row r="766" spans="3:17" x14ac:dyDescent="0.25">
      <c r="C766" s="13" t="s">
        <v>1833</v>
      </c>
      <c r="D766" s="13" t="s">
        <v>1836</v>
      </c>
      <c r="E766" s="10">
        <v>1133381424</v>
      </c>
      <c r="F766" t="s">
        <v>35</v>
      </c>
      <c r="G766" t="s">
        <v>1837</v>
      </c>
      <c r="H766" s="14">
        <v>1</v>
      </c>
      <c r="I766" s="10" t="s">
        <v>28</v>
      </c>
      <c r="J766" s="1">
        <v>45573</v>
      </c>
      <c r="K766" s="1">
        <v>45604</v>
      </c>
      <c r="L766" s="25">
        <f ca="1">CLIENTES[[#This Row],[Fecha Vencimiento]]-$J$6</f>
        <v>9</v>
      </c>
      <c r="N766" s="1" t="str">
        <f t="shared" ca="1" si="24"/>
        <v>Al dia</v>
      </c>
      <c r="O766" s="19">
        <v>45573</v>
      </c>
      <c r="P766" s="2"/>
      <c r="Q766" s="2">
        <f t="shared" si="23"/>
        <v>-45573</v>
      </c>
    </row>
    <row r="767" spans="3:17" x14ac:dyDescent="0.25">
      <c r="C767" s="13" t="s">
        <v>1838</v>
      </c>
      <c r="D767" s="13" t="s">
        <v>117</v>
      </c>
      <c r="E767" s="10">
        <v>1130364350</v>
      </c>
      <c r="F767" t="s">
        <v>35</v>
      </c>
      <c r="G767" t="s">
        <v>1839</v>
      </c>
      <c r="H767" s="14">
        <v>3</v>
      </c>
      <c r="I767" s="10" t="s">
        <v>28</v>
      </c>
      <c r="J767" s="1">
        <v>45584</v>
      </c>
      <c r="K767" s="1">
        <v>45616</v>
      </c>
      <c r="L767" s="25">
        <f ca="1">CLIENTES[[#This Row],[Fecha Vencimiento]]-$J$6</f>
        <v>21</v>
      </c>
      <c r="N767" s="1" t="str">
        <f t="shared" ca="1" si="24"/>
        <v>Al dia</v>
      </c>
      <c r="O767" s="19"/>
      <c r="P767" s="2"/>
      <c r="Q767" s="2">
        <f t="shared" si="23"/>
        <v>0</v>
      </c>
    </row>
    <row r="768" spans="3:17" x14ac:dyDescent="0.25">
      <c r="C768" s="13" t="s">
        <v>1840</v>
      </c>
      <c r="D768" s="13" t="s">
        <v>1841</v>
      </c>
      <c r="F768" t="s">
        <v>35</v>
      </c>
      <c r="G768" t="s">
        <v>1842</v>
      </c>
      <c r="H768" s="14">
        <v>5</v>
      </c>
      <c r="I768" s="10" t="s">
        <v>28</v>
      </c>
      <c r="J768" s="1">
        <v>45579</v>
      </c>
      <c r="K768" s="1">
        <v>45609</v>
      </c>
      <c r="L768" s="25">
        <f ca="1">CLIENTES[[#This Row],[Fecha Vencimiento]]-$J$6</f>
        <v>14</v>
      </c>
      <c r="N768" s="1" t="str">
        <f t="shared" ca="1" si="24"/>
        <v>Al dia</v>
      </c>
      <c r="O768" s="19"/>
      <c r="P768" s="2"/>
      <c r="Q768" s="2">
        <f t="shared" si="23"/>
        <v>0</v>
      </c>
    </row>
    <row r="769" spans="3:17" x14ac:dyDescent="0.25">
      <c r="C769" s="13" t="s">
        <v>1840</v>
      </c>
      <c r="D769" s="13" t="s">
        <v>325</v>
      </c>
      <c r="E769" s="10">
        <v>1134158210</v>
      </c>
      <c r="F769" t="s">
        <v>35</v>
      </c>
      <c r="G769" t="s">
        <v>1843</v>
      </c>
      <c r="H769" s="14">
        <v>2</v>
      </c>
      <c r="I769" s="10" t="s">
        <v>28</v>
      </c>
      <c r="J769" s="1">
        <v>45576</v>
      </c>
      <c r="K769" s="1">
        <v>45606</v>
      </c>
      <c r="L769" s="25">
        <f ca="1">CLIENTES[[#This Row],[Fecha Vencimiento]]-$J$6</f>
        <v>11</v>
      </c>
      <c r="N769" s="1" t="str">
        <f t="shared" ca="1" si="24"/>
        <v>Al dia</v>
      </c>
      <c r="O769" s="19"/>
      <c r="P769" s="2"/>
      <c r="Q769" s="2">
        <f t="shared" si="23"/>
        <v>0</v>
      </c>
    </row>
    <row r="770" spans="3:17" x14ac:dyDescent="0.25">
      <c r="C770" s="13" t="s">
        <v>1840</v>
      </c>
      <c r="D770" s="13" t="s">
        <v>1844</v>
      </c>
      <c r="E770" s="10">
        <v>1158170257</v>
      </c>
      <c r="F770" t="s">
        <v>35</v>
      </c>
      <c r="G770" t="s">
        <v>1845</v>
      </c>
      <c r="H770" s="14">
        <v>1</v>
      </c>
      <c r="I770" s="10" t="s">
        <v>28</v>
      </c>
      <c r="J770" s="1">
        <v>45572</v>
      </c>
      <c r="K770" s="1">
        <v>45601</v>
      </c>
      <c r="L770" s="25">
        <f ca="1">CLIENTES[[#This Row],[Fecha Vencimiento]]-$J$6</f>
        <v>6</v>
      </c>
      <c r="N770" s="1" t="str">
        <f t="shared" ca="1" si="24"/>
        <v>Al dia</v>
      </c>
      <c r="O770" s="19">
        <v>45540</v>
      </c>
      <c r="P770" s="2"/>
      <c r="Q770" s="2">
        <f t="shared" si="23"/>
        <v>-45540</v>
      </c>
    </row>
    <row r="771" spans="3:17" x14ac:dyDescent="0.25">
      <c r="C771" s="13" t="s">
        <v>1840</v>
      </c>
      <c r="D771" s="13" t="s">
        <v>1841</v>
      </c>
      <c r="E771" s="10">
        <v>1155234294</v>
      </c>
      <c r="F771" t="s">
        <v>35</v>
      </c>
      <c r="G771" t="s">
        <v>1846</v>
      </c>
      <c r="H771" s="14">
        <v>2</v>
      </c>
      <c r="I771" s="10" t="s">
        <v>28</v>
      </c>
      <c r="J771" s="1">
        <v>45579</v>
      </c>
      <c r="K771" s="1">
        <v>45602</v>
      </c>
      <c r="L771" s="25">
        <f ca="1">CLIENTES[[#This Row],[Fecha Vencimiento]]-$J$6</f>
        <v>7</v>
      </c>
      <c r="N771" s="1" t="str">
        <f t="shared" ca="1" si="24"/>
        <v>Al dia</v>
      </c>
      <c r="O771" s="19">
        <v>45541</v>
      </c>
      <c r="P771" s="2"/>
      <c r="Q771" s="2">
        <f t="shared" si="23"/>
        <v>-45541</v>
      </c>
    </row>
    <row r="772" spans="3:17" x14ac:dyDescent="0.25">
      <c r="C772" t="s">
        <v>1840</v>
      </c>
      <c r="D772" t="s">
        <v>1847</v>
      </c>
      <c r="E772" s="10">
        <v>1157409510</v>
      </c>
      <c r="F772" t="s">
        <v>35</v>
      </c>
      <c r="G772" t="s">
        <v>1848</v>
      </c>
      <c r="H772" s="14">
        <v>2</v>
      </c>
      <c r="I772" s="10" t="s">
        <v>28</v>
      </c>
      <c r="J772" s="1">
        <v>45587</v>
      </c>
      <c r="K772" s="1">
        <v>45616</v>
      </c>
      <c r="L772" s="25">
        <f ca="1">CLIENTES[[#This Row],[Fecha Vencimiento]]-$J$6</f>
        <v>21</v>
      </c>
      <c r="N772" s="1" t="str">
        <f t="shared" ca="1" si="24"/>
        <v>Al dia</v>
      </c>
      <c r="O772" s="19">
        <v>45555</v>
      </c>
      <c r="P772" s="2"/>
      <c r="Q772" s="2">
        <f t="shared" si="23"/>
        <v>-45555</v>
      </c>
    </row>
    <row r="773" spans="3:17" x14ac:dyDescent="0.25">
      <c r="C773" t="s">
        <v>1840</v>
      </c>
      <c r="D773" t="s">
        <v>1847</v>
      </c>
      <c r="E773" s="10">
        <v>1557409510</v>
      </c>
      <c r="F773" t="s">
        <v>35</v>
      </c>
      <c r="G773" t="s">
        <v>1849</v>
      </c>
      <c r="H773" s="14">
        <v>2</v>
      </c>
      <c r="I773" s="10" t="s">
        <v>28</v>
      </c>
      <c r="J773" s="1">
        <v>45587</v>
      </c>
      <c r="K773" s="1">
        <v>45623</v>
      </c>
      <c r="L773" s="25">
        <f ca="1">CLIENTES[[#This Row],[Fecha Vencimiento]]-$J$6</f>
        <v>28</v>
      </c>
      <c r="N773" s="1" t="str">
        <f t="shared" ca="1" si="24"/>
        <v>Al dia</v>
      </c>
      <c r="O773" s="19">
        <v>45562</v>
      </c>
      <c r="P773" s="2"/>
      <c r="Q773" s="2">
        <f t="shared" si="23"/>
        <v>-45562</v>
      </c>
    </row>
    <row r="774" spans="3:17" x14ac:dyDescent="0.25">
      <c r="C774" s="13" t="s">
        <v>1850</v>
      </c>
      <c r="D774" s="13" t="s">
        <v>1851</v>
      </c>
      <c r="E774" s="10">
        <v>1165755793</v>
      </c>
      <c r="F774" t="s">
        <v>35</v>
      </c>
      <c r="G774" t="s">
        <v>1852</v>
      </c>
      <c r="H774" s="14">
        <v>3</v>
      </c>
      <c r="I774" s="10" t="s">
        <v>28</v>
      </c>
      <c r="J774" s="1">
        <v>45593</v>
      </c>
      <c r="K774" s="1">
        <v>45623</v>
      </c>
      <c r="L774" s="25">
        <f ca="1">CLIENTES[[#This Row],[Fecha Vencimiento]]-$J$6</f>
        <v>28</v>
      </c>
      <c r="N774" s="1" t="str">
        <f t="shared" ca="1" si="24"/>
        <v>Al dia</v>
      </c>
      <c r="O774" s="19"/>
      <c r="P774" s="2"/>
      <c r="Q774" s="2">
        <f t="shared" si="23"/>
        <v>0</v>
      </c>
    </row>
    <row r="775" spans="3:17" x14ac:dyDescent="0.25">
      <c r="C775" s="13" t="s">
        <v>1853</v>
      </c>
      <c r="D775" s="13" t="s">
        <v>1854</v>
      </c>
      <c r="E775" s="10">
        <v>1134320576</v>
      </c>
      <c r="F775" t="s">
        <v>35</v>
      </c>
      <c r="G775" t="s">
        <v>1855</v>
      </c>
      <c r="H775" s="14">
        <v>2</v>
      </c>
      <c r="I775" s="10" t="s">
        <v>28</v>
      </c>
      <c r="J775" s="1">
        <v>45593</v>
      </c>
      <c r="K775" s="1">
        <v>45621</v>
      </c>
      <c r="L775" s="25">
        <f ca="1">CLIENTES[[#This Row],[Fecha Vencimiento]]-$J$6</f>
        <v>26</v>
      </c>
      <c r="N775" s="1" t="str">
        <f t="shared" ca="1" si="24"/>
        <v>Al dia</v>
      </c>
      <c r="O775" s="19">
        <v>45560</v>
      </c>
      <c r="P775" s="2"/>
      <c r="Q775" s="2">
        <f t="shared" si="23"/>
        <v>-45560</v>
      </c>
    </row>
    <row r="776" spans="3:17" x14ac:dyDescent="0.25">
      <c r="C776" s="13" t="s">
        <v>1856</v>
      </c>
      <c r="D776" s="13" t="s">
        <v>1857</v>
      </c>
      <c r="E776" s="10">
        <v>1121718741</v>
      </c>
      <c r="F776" t="s">
        <v>35</v>
      </c>
      <c r="G776" t="s">
        <v>1858</v>
      </c>
      <c r="H776" s="14">
        <v>1</v>
      </c>
      <c r="I776" s="10" t="s">
        <v>28</v>
      </c>
      <c r="J776" s="1">
        <v>45553</v>
      </c>
      <c r="K776" s="1">
        <v>45587</v>
      </c>
      <c r="L776" s="25">
        <f ca="1">CLIENTES[[#This Row],[Fecha Vencimiento]]-$J$6</f>
        <v>-8</v>
      </c>
      <c r="N776" s="1" t="str">
        <f t="shared" ca="1" si="24"/>
        <v>Vencido</v>
      </c>
      <c r="O776" s="19"/>
      <c r="P776" s="2"/>
      <c r="Q776" s="2">
        <f t="shared" ref="Q776:Q839" si="25">P776-O776</f>
        <v>0</v>
      </c>
    </row>
    <row r="777" spans="3:17" x14ac:dyDescent="0.25">
      <c r="C777" s="13" t="s">
        <v>1859</v>
      </c>
      <c r="D777" s="13" t="s">
        <v>1860</v>
      </c>
      <c r="E777" s="10">
        <v>1137044308</v>
      </c>
      <c r="F777" t="s">
        <v>159</v>
      </c>
      <c r="G777" t="s">
        <v>1861</v>
      </c>
      <c r="H777" s="14">
        <v>7</v>
      </c>
      <c r="I777" s="10" t="s">
        <v>183</v>
      </c>
      <c r="J777" s="1">
        <v>45593</v>
      </c>
      <c r="K777" s="1">
        <v>45622</v>
      </c>
      <c r="L777" s="25">
        <f ca="1">CLIENTES[[#This Row],[Fecha Vencimiento]]-$J$6</f>
        <v>27</v>
      </c>
      <c r="N777" s="1" t="str">
        <f t="shared" ca="1" si="24"/>
        <v>Al dia</v>
      </c>
      <c r="O777" s="19"/>
      <c r="P777" s="2"/>
      <c r="Q777" s="2">
        <f t="shared" si="25"/>
        <v>0</v>
      </c>
    </row>
    <row r="778" spans="3:17" x14ac:dyDescent="0.25">
      <c r="C778" s="13" t="s">
        <v>1862</v>
      </c>
      <c r="D778" s="13" t="s">
        <v>1863</v>
      </c>
      <c r="F778" t="s">
        <v>73</v>
      </c>
      <c r="G778" t="s">
        <v>1864</v>
      </c>
      <c r="H778" s="14">
        <v>4</v>
      </c>
      <c r="I778" s="10" t="s">
        <v>75</v>
      </c>
      <c r="J778" s="1">
        <v>45370</v>
      </c>
      <c r="K778" s="1">
        <v>45399</v>
      </c>
      <c r="L778" s="25">
        <f ca="1">CLIENTES[[#This Row],[Fecha Vencimiento]]-$J$6</f>
        <v>-196</v>
      </c>
      <c r="N778" s="1" t="str">
        <f t="shared" ca="1" si="24"/>
        <v>Vencido</v>
      </c>
      <c r="O778" s="19"/>
      <c r="P778" s="2"/>
      <c r="Q778" s="2">
        <f t="shared" si="25"/>
        <v>0</v>
      </c>
    </row>
    <row r="779" spans="3:17" x14ac:dyDescent="0.25">
      <c r="C779" s="13" t="s">
        <v>1862</v>
      </c>
      <c r="D779" s="13" t="s">
        <v>1865</v>
      </c>
      <c r="E779" s="10">
        <v>1163664235</v>
      </c>
      <c r="F779" t="s">
        <v>35</v>
      </c>
      <c r="G779" t="s">
        <v>1866</v>
      </c>
      <c r="H779" s="14">
        <v>5</v>
      </c>
      <c r="I779" s="10" t="s">
        <v>28</v>
      </c>
      <c r="J779" s="1">
        <v>45590</v>
      </c>
      <c r="K779" s="1">
        <v>45618</v>
      </c>
      <c r="L779" s="25">
        <f ca="1">CLIENTES[[#This Row],[Fecha Vencimiento]]-$J$6</f>
        <v>23</v>
      </c>
      <c r="N779" s="1" t="str">
        <f t="shared" ca="1" si="24"/>
        <v>Al dia</v>
      </c>
      <c r="O779" s="19"/>
      <c r="P779" s="2"/>
      <c r="Q779" s="2">
        <f t="shared" si="25"/>
        <v>0</v>
      </c>
    </row>
    <row r="780" spans="3:17" x14ac:dyDescent="0.25">
      <c r="C780" s="13" t="s">
        <v>1862</v>
      </c>
      <c r="D780" s="13" t="s">
        <v>1867</v>
      </c>
      <c r="E780" s="10" t="s">
        <v>3110</v>
      </c>
      <c r="F780" t="s">
        <v>35</v>
      </c>
      <c r="G780" t="s">
        <v>1868</v>
      </c>
      <c r="H780" s="14">
        <v>1</v>
      </c>
      <c r="I780" s="10" t="s">
        <v>28</v>
      </c>
      <c r="J780" s="1">
        <v>45594</v>
      </c>
      <c r="K780" s="1">
        <v>45618</v>
      </c>
      <c r="L780" s="25">
        <f ca="1">CLIENTES[[#This Row],[Fecha Vencimiento]]-$J$6</f>
        <v>23</v>
      </c>
      <c r="N780" s="1" t="str">
        <f t="shared" ca="1" si="24"/>
        <v>Al dia</v>
      </c>
      <c r="O780" s="19"/>
      <c r="P780" s="2"/>
      <c r="Q780" s="2">
        <f t="shared" si="25"/>
        <v>0</v>
      </c>
    </row>
    <row r="781" spans="3:17" x14ac:dyDescent="0.25">
      <c r="C781" s="13" t="s">
        <v>1862</v>
      </c>
      <c r="D781" s="13" t="s">
        <v>1869</v>
      </c>
      <c r="E781" s="10">
        <v>1128963709</v>
      </c>
      <c r="F781" t="s">
        <v>35</v>
      </c>
      <c r="G781" t="s">
        <v>1870</v>
      </c>
      <c r="H781" s="14">
        <v>4</v>
      </c>
      <c r="I781" s="10" t="s">
        <v>28</v>
      </c>
      <c r="J781" s="1">
        <v>45589</v>
      </c>
      <c r="K781" s="1">
        <v>45620</v>
      </c>
      <c r="L781" s="25">
        <f ca="1">CLIENTES[[#This Row],[Fecha Vencimiento]]-$J$6</f>
        <v>25</v>
      </c>
      <c r="N781" s="1" t="str">
        <f t="shared" ca="1" si="24"/>
        <v>Al dia</v>
      </c>
      <c r="O781" s="19"/>
      <c r="P781" s="2"/>
      <c r="Q781" s="2">
        <f t="shared" si="25"/>
        <v>0</v>
      </c>
    </row>
    <row r="782" spans="3:17" x14ac:dyDescent="0.25">
      <c r="C782" s="13" t="s">
        <v>1862</v>
      </c>
      <c r="D782" s="13" t="s">
        <v>203</v>
      </c>
      <c r="F782" t="s">
        <v>35</v>
      </c>
      <c r="G782" t="s">
        <v>1871</v>
      </c>
      <c r="H782" s="14">
        <v>1</v>
      </c>
      <c r="I782" s="10" t="s">
        <v>28</v>
      </c>
      <c r="J782" s="1">
        <v>45572</v>
      </c>
      <c r="K782" s="1">
        <v>45603</v>
      </c>
      <c r="L782" s="25">
        <f ca="1">CLIENTES[[#This Row],[Fecha Vencimiento]]-$J$6</f>
        <v>8</v>
      </c>
      <c r="N782" s="1" t="str">
        <f t="shared" ca="1" si="24"/>
        <v>Al dia</v>
      </c>
      <c r="O782" s="19">
        <v>45572</v>
      </c>
      <c r="P782" s="2"/>
      <c r="Q782" s="2">
        <f t="shared" si="25"/>
        <v>-45572</v>
      </c>
    </row>
    <row r="783" spans="3:17" x14ac:dyDescent="0.25">
      <c r="C783" s="13" t="s">
        <v>1862</v>
      </c>
      <c r="D783" s="13" t="s">
        <v>203</v>
      </c>
      <c r="F783" t="s">
        <v>35</v>
      </c>
      <c r="G783" t="s">
        <v>1872</v>
      </c>
      <c r="H783" s="14">
        <v>1</v>
      </c>
      <c r="I783" s="10" t="s">
        <v>28</v>
      </c>
      <c r="J783" s="1">
        <v>45572</v>
      </c>
      <c r="K783" s="1">
        <v>45603</v>
      </c>
      <c r="L783" s="25">
        <f ca="1">CLIENTES[[#This Row],[Fecha Vencimiento]]-$J$6</f>
        <v>8</v>
      </c>
      <c r="N783" s="1" t="str">
        <f t="shared" ca="1" si="24"/>
        <v>Al dia</v>
      </c>
      <c r="O783" s="19">
        <v>45572</v>
      </c>
      <c r="P783" s="2"/>
      <c r="Q783" s="2">
        <f t="shared" si="25"/>
        <v>-45572</v>
      </c>
    </row>
    <row r="784" spans="3:17" x14ac:dyDescent="0.25">
      <c r="C784" s="13" t="s">
        <v>1873</v>
      </c>
      <c r="D784" s="13" t="s">
        <v>1874</v>
      </c>
      <c r="E784" s="10">
        <v>1131694340</v>
      </c>
      <c r="F784" t="s">
        <v>35</v>
      </c>
      <c r="G784" t="s">
        <v>1875</v>
      </c>
      <c r="H784" s="14">
        <v>3</v>
      </c>
      <c r="I784" s="10" t="s">
        <v>28</v>
      </c>
      <c r="J784" s="1">
        <v>45573</v>
      </c>
      <c r="K784" s="1">
        <v>45610</v>
      </c>
      <c r="L784" s="25">
        <f ca="1">CLIENTES[[#This Row],[Fecha Vencimiento]]-$J$6</f>
        <v>15</v>
      </c>
      <c r="N784" s="1" t="str">
        <f t="shared" ca="1" si="24"/>
        <v>Al dia</v>
      </c>
      <c r="O784" s="19"/>
      <c r="P784" s="2"/>
      <c r="Q784" s="2">
        <f t="shared" si="25"/>
        <v>0</v>
      </c>
    </row>
    <row r="785" spans="3:17" x14ac:dyDescent="0.25">
      <c r="C785" s="13" t="s">
        <v>1873</v>
      </c>
      <c r="D785" s="13" t="s">
        <v>172</v>
      </c>
      <c r="E785" s="10">
        <v>1126000111</v>
      </c>
      <c r="F785" t="s">
        <v>35</v>
      </c>
      <c r="G785" t="s">
        <v>1876</v>
      </c>
      <c r="H785" s="14">
        <v>3</v>
      </c>
      <c r="I785" s="10" t="s">
        <v>28</v>
      </c>
      <c r="J785" s="1">
        <v>45582</v>
      </c>
      <c r="K785" s="1">
        <v>45610</v>
      </c>
      <c r="L785" s="25">
        <f ca="1">CLIENTES[[#This Row],[Fecha Vencimiento]]-$J$6</f>
        <v>15</v>
      </c>
      <c r="N785" s="1" t="str">
        <f t="shared" ca="1" si="24"/>
        <v>Al dia</v>
      </c>
      <c r="O785" s="19"/>
      <c r="P785" s="2"/>
      <c r="Q785" s="2">
        <f t="shared" si="25"/>
        <v>0</v>
      </c>
    </row>
    <row r="786" spans="3:17" x14ac:dyDescent="0.25">
      <c r="C786" s="13" t="s">
        <v>1873</v>
      </c>
      <c r="D786" s="13" t="s">
        <v>1877</v>
      </c>
      <c r="E786" s="10">
        <v>1160235647</v>
      </c>
      <c r="F786" t="s">
        <v>35</v>
      </c>
      <c r="G786" t="s">
        <v>1878</v>
      </c>
      <c r="H786" s="14">
        <v>6</v>
      </c>
      <c r="I786" s="10" t="s">
        <v>28</v>
      </c>
      <c r="J786" s="1">
        <v>45567</v>
      </c>
      <c r="K786" s="1">
        <v>45598</v>
      </c>
      <c r="L786" s="25">
        <f ca="1">CLIENTES[[#This Row],[Fecha Vencimiento]]-$J$6</f>
        <v>3</v>
      </c>
      <c r="N786" s="1" t="str">
        <f t="shared" ca="1" si="24"/>
        <v>Por vencer</v>
      </c>
      <c r="O786" s="19"/>
      <c r="P786" s="2"/>
      <c r="Q786" s="2">
        <f t="shared" si="25"/>
        <v>0</v>
      </c>
    </row>
    <row r="787" spans="3:17" x14ac:dyDescent="0.25">
      <c r="C787" s="13" t="s">
        <v>1879</v>
      </c>
      <c r="D787" s="13" t="s">
        <v>1880</v>
      </c>
      <c r="E787" s="10">
        <v>1124432360</v>
      </c>
      <c r="F787" t="s">
        <v>35</v>
      </c>
      <c r="G787" t="s">
        <v>1881</v>
      </c>
      <c r="H787" s="14">
        <v>2</v>
      </c>
      <c r="I787" s="10" t="s">
        <v>28</v>
      </c>
      <c r="J787" s="1">
        <v>45581</v>
      </c>
      <c r="K787" s="1">
        <v>45607</v>
      </c>
      <c r="L787" s="25">
        <f ca="1">CLIENTES[[#This Row],[Fecha Vencimiento]]-$J$6</f>
        <v>12</v>
      </c>
      <c r="N787" s="1" t="str">
        <f t="shared" ca="1" si="24"/>
        <v>Al dia</v>
      </c>
      <c r="O787" s="19">
        <v>45546</v>
      </c>
      <c r="P787" s="2"/>
      <c r="Q787" s="2">
        <f t="shared" si="25"/>
        <v>-45546</v>
      </c>
    </row>
    <row r="788" spans="3:17" x14ac:dyDescent="0.25">
      <c r="C788" s="13" t="s">
        <v>1879</v>
      </c>
      <c r="D788" s="13" t="s">
        <v>1880</v>
      </c>
      <c r="F788" t="s">
        <v>35</v>
      </c>
      <c r="G788" t="s">
        <v>1882</v>
      </c>
      <c r="H788" s="14">
        <v>3</v>
      </c>
      <c r="I788" s="10" t="s">
        <v>28</v>
      </c>
      <c r="J788" s="1">
        <v>45581</v>
      </c>
      <c r="K788" s="1">
        <v>45618</v>
      </c>
      <c r="L788" s="25">
        <f ca="1">CLIENTES[[#This Row],[Fecha Vencimiento]]-$J$6</f>
        <v>23</v>
      </c>
      <c r="N788" s="1" t="str">
        <f t="shared" ca="1" si="24"/>
        <v>Al dia</v>
      </c>
      <c r="O788" s="19"/>
      <c r="P788" s="2"/>
      <c r="Q788" s="2">
        <f t="shared" si="25"/>
        <v>0</v>
      </c>
    </row>
    <row r="789" spans="3:17" x14ac:dyDescent="0.25">
      <c r="C789" s="13" t="s">
        <v>1879</v>
      </c>
      <c r="D789" s="13" t="s">
        <v>1880</v>
      </c>
      <c r="E789" s="10">
        <v>1124432360</v>
      </c>
      <c r="F789" t="s">
        <v>35</v>
      </c>
      <c r="G789" t="s">
        <v>1883</v>
      </c>
      <c r="H789" s="14">
        <v>2</v>
      </c>
      <c r="I789" s="10" t="s">
        <v>28</v>
      </c>
      <c r="J789" s="1">
        <v>45581</v>
      </c>
      <c r="K789" s="1">
        <v>45607</v>
      </c>
      <c r="L789" s="25">
        <f ca="1">CLIENTES[[#This Row],[Fecha Vencimiento]]-$J$6</f>
        <v>12</v>
      </c>
      <c r="N789" s="1" t="str">
        <f t="shared" ca="1" si="24"/>
        <v>Al dia</v>
      </c>
      <c r="O789" s="19">
        <v>45546</v>
      </c>
      <c r="P789" s="2"/>
      <c r="Q789" s="2">
        <f t="shared" si="25"/>
        <v>-45546</v>
      </c>
    </row>
    <row r="790" spans="3:17" x14ac:dyDescent="0.25">
      <c r="C790" s="13" t="s">
        <v>1884</v>
      </c>
      <c r="D790" s="13" t="s">
        <v>1885</v>
      </c>
      <c r="F790" t="s">
        <v>35</v>
      </c>
      <c r="G790" t="s">
        <v>1886</v>
      </c>
      <c r="H790" s="14">
        <v>1</v>
      </c>
      <c r="I790" s="10" t="s">
        <v>28</v>
      </c>
      <c r="J790" s="1">
        <v>45583</v>
      </c>
      <c r="K790" s="1">
        <v>45614</v>
      </c>
      <c r="L790" s="25">
        <f ca="1">CLIENTES[[#This Row],[Fecha Vencimiento]]-$J$6</f>
        <v>19</v>
      </c>
      <c r="N790" s="1" t="str">
        <f t="shared" ca="1" si="24"/>
        <v>Al dia</v>
      </c>
      <c r="O790" s="19">
        <v>45583</v>
      </c>
      <c r="P790" s="2"/>
      <c r="Q790" s="2">
        <f t="shared" si="25"/>
        <v>-45583</v>
      </c>
    </row>
    <row r="791" spans="3:17" x14ac:dyDescent="0.25">
      <c r="C791" s="13" t="s">
        <v>1887</v>
      </c>
      <c r="D791" s="13" t="s">
        <v>249</v>
      </c>
      <c r="E791" s="10">
        <v>1141709558</v>
      </c>
      <c r="F791" t="s">
        <v>35</v>
      </c>
      <c r="G791" t="s">
        <v>1888</v>
      </c>
      <c r="H791" s="14">
        <v>1</v>
      </c>
      <c r="I791" s="10" t="s">
        <v>28</v>
      </c>
      <c r="J791" s="1">
        <v>45554</v>
      </c>
      <c r="K791" s="1">
        <v>45584</v>
      </c>
      <c r="L791" s="25">
        <f ca="1">CLIENTES[[#This Row],[Fecha Vencimiento]]-$J$6</f>
        <v>-11</v>
      </c>
      <c r="N791" s="1" t="str">
        <f t="shared" ca="1" si="24"/>
        <v>Vencido</v>
      </c>
      <c r="O791" s="19">
        <v>45554</v>
      </c>
      <c r="P791" s="2"/>
      <c r="Q791" s="2">
        <f t="shared" si="25"/>
        <v>-45554</v>
      </c>
    </row>
    <row r="792" spans="3:17" x14ac:dyDescent="0.25">
      <c r="C792" s="13" t="s">
        <v>1889</v>
      </c>
      <c r="D792" s="13" t="s">
        <v>1890</v>
      </c>
      <c r="E792" s="10">
        <v>1167306350</v>
      </c>
      <c r="F792" t="s">
        <v>232</v>
      </c>
      <c r="G792" t="s">
        <v>1891</v>
      </c>
      <c r="H792" s="14">
        <v>5</v>
      </c>
      <c r="I792" s="10" t="s">
        <v>79</v>
      </c>
      <c r="J792" s="1">
        <v>45551</v>
      </c>
      <c r="K792" s="1">
        <v>45576</v>
      </c>
      <c r="L792" s="25">
        <f ca="1">CLIENTES[[#This Row],[Fecha Vencimiento]]-$J$6</f>
        <v>-19</v>
      </c>
      <c r="N792" s="1" t="str">
        <f t="shared" ca="1" si="24"/>
        <v>Vencido</v>
      </c>
      <c r="O792" s="19"/>
      <c r="P792" s="2"/>
      <c r="Q792" s="2">
        <f t="shared" si="25"/>
        <v>0</v>
      </c>
    </row>
    <row r="793" spans="3:17" x14ac:dyDescent="0.25">
      <c r="C793" s="13" t="s">
        <v>1889</v>
      </c>
      <c r="D793" s="13" t="s">
        <v>1892</v>
      </c>
      <c r="E793" s="10" t="s">
        <v>2931</v>
      </c>
      <c r="F793" t="s">
        <v>35</v>
      </c>
      <c r="G793" t="s">
        <v>1893</v>
      </c>
      <c r="H793" s="14">
        <v>5</v>
      </c>
      <c r="I793" s="10" t="s">
        <v>28</v>
      </c>
      <c r="J793" s="1">
        <v>45584</v>
      </c>
      <c r="K793" s="1">
        <v>45614</v>
      </c>
      <c r="L793" s="25">
        <f ca="1">CLIENTES[[#This Row],[Fecha Vencimiento]]-$J$6</f>
        <v>19</v>
      </c>
      <c r="N793" s="1" t="str">
        <f t="shared" ca="1" si="24"/>
        <v>Al dia</v>
      </c>
      <c r="O793" s="19"/>
      <c r="P793" s="2"/>
      <c r="Q793" s="2">
        <f t="shared" si="25"/>
        <v>0</v>
      </c>
    </row>
    <row r="794" spans="3:17" x14ac:dyDescent="0.25">
      <c r="C794" s="13" t="s">
        <v>1889</v>
      </c>
      <c r="D794" s="13" t="s">
        <v>1894</v>
      </c>
      <c r="E794" s="10">
        <v>1135123460</v>
      </c>
      <c r="F794" t="s">
        <v>35</v>
      </c>
      <c r="G794" t="s">
        <v>1895</v>
      </c>
      <c r="H794" s="14">
        <v>2</v>
      </c>
      <c r="I794" s="10" t="s">
        <v>28</v>
      </c>
      <c r="J794" s="1">
        <v>45590</v>
      </c>
      <c r="K794" s="1">
        <v>45613</v>
      </c>
      <c r="L794" s="25">
        <f ca="1">CLIENTES[[#This Row],[Fecha Vencimiento]]-$J$6</f>
        <v>18</v>
      </c>
      <c r="N794" s="1" t="str">
        <f t="shared" ca="1" si="24"/>
        <v>Al dia</v>
      </c>
      <c r="O794" s="19"/>
      <c r="P794" s="2"/>
      <c r="Q794" s="2">
        <f t="shared" si="25"/>
        <v>0</v>
      </c>
    </row>
    <row r="795" spans="3:17" x14ac:dyDescent="0.25">
      <c r="C795" s="13" t="s">
        <v>1896</v>
      </c>
      <c r="D795" s="13" t="s">
        <v>1897</v>
      </c>
      <c r="E795" s="10">
        <v>1166950217</v>
      </c>
      <c r="F795" t="s">
        <v>35</v>
      </c>
      <c r="G795" t="s">
        <v>1898</v>
      </c>
      <c r="H795" s="14">
        <v>6</v>
      </c>
      <c r="I795" s="10" t="s">
        <v>28</v>
      </c>
      <c r="J795" s="1">
        <v>45581</v>
      </c>
      <c r="K795" s="1">
        <v>45613</v>
      </c>
      <c r="L795" s="25">
        <f ca="1">CLIENTES[[#This Row],[Fecha Vencimiento]]-$J$6</f>
        <v>18</v>
      </c>
      <c r="N795" s="1" t="str">
        <f t="shared" ca="1" si="24"/>
        <v>Al dia</v>
      </c>
      <c r="O795" s="19"/>
      <c r="P795" s="2"/>
      <c r="Q795" s="2">
        <f t="shared" si="25"/>
        <v>0</v>
      </c>
    </row>
    <row r="796" spans="3:17" x14ac:dyDescent="0.25">
      <c r="C796" t="s">
        <v>1899</v>
      </c>
      <c r="D796" t="s">
        <v>1091</v>
      </c>
      <c r="E796" s="10" t="s">
        <v>2931</v>
      </c>
      <c r="F796" t="s">
        <v>35</v>
      </c>
      <c r="G796" t="s">
        <v>1900</v>
      </c>
      <c r="H796" s="14">
        <v>1</v>
      </c>
      <c r="I796" s="10" t="s">
        <v>28</v>
      </c>
      <c r="J796" s="1">
        <v>45553</v>
      </c>
      <c r="K796" s="1">
        <v>45583</v>
      </c>
      <c r="L796" s="25">
        <f ca="1">CLIENTES[[#This Row],[Fecha Vencimiento]]-$J$6</f>
        <v>-12</v>
      </c>
      <c r="N796" s="1" t="str">
        <f t="shared" ca="1" si="24"/>
        <v>Vencido</v>
      </c>
      <c r="O796" s="19">
        <v>45553</v>
      </c>
      <c r="P796" s="2"/>
      <c r="Q796" s="2">
        <f t="shared" si="25"/>
        <v>-45553</v>
      </c>
    </row>
    <row r="797" spans="3:17" x14ac:dyDescent="0.25">
      <c r="C797" s="13" t="s">
        <v>1901</v>
      </c>
      <c r="D797" s="13" t="s">
        <v>1902</v>
      </c>
      <c r="F797" t="s">
        <v>35</v>
      </c>
      <c r="G797" t="s">
        <v>1903</v>
      </c>
      <c r="H797" s="14">
        <v>3</v>
      </c>
      <c r="I797" s="10" t="s">
        <v>28</v>
      </c>
      <c r="J797" s="1">
        <v>45579</v>
      </c>
      <c r="K797" s="1">
        <v>45619</v>
      </c>
      <c r="L797" s="25">
        <f ca="1">CLIENTES[[#This Row],[Fecha Vencimiento]]-$J$6</f>
        <v>24</v>
      </c>
      <c r="N797" s="1" t="str">
        <f t="shared" ca="1" si="24"/>
        <v>Al dia</v>
      </c>
      <c r="O797" s="19"/>
      <c r="P797" s="2"/>
      <c r="Q797" s="2">
        <f t="shared" si="25"/>
        <v>0</v>
      </c>
    </row>
    <row r="798" spans="3:17" x14ac:dyDescent="0.25">
      <c r="C798" s="13" t="s">
        <v>1901</v>
      </c>
      <c r="D798" s="13" t="s">
        <v>1904</v>
      </c>
      <c r="E798" s="10">
        <v>1154014045</v>
      </c>
      <c r="F798" t="s">
        <v>35</v>
      </c>
      <c r="G798" t="s">
        <v>1905</v>
      </c>
      <c r="H798" s="14">
        <v>2</v>
      </c>
      <c r="I798" s="10" t="s">
        <v>28</v>
      </c>
      <c r="J798" s="1">
        <v>45568</v>
      </c>
      <c r="K798" s="1">
        <v>45623</v>
      </c>
      <c r="L798" s="25">
        <f ca="1">CLIENTES[[#This Row],[Fecha Vencimiento]]-$J$6</f>
        <v>28</v>
      </c>
      <c r="N798" s="1" t="str">
        <f t="shared" ca="1" si="24"/>
        <v>Al dia</v>
      </c>
      <c r="O798" s="19"/>
      <c r="P798" s="2"/>
      <c r="Q798" s="2">
        <f t="shared" si="25"/>
        <v>0</v>
      </c>
    </row>
    <row r="799" spans="3:17" x14ac:dyDescent="0.25">
      <c r="C799" s="13" t="s">
        <v>1906</v>
      </c>
      <c r="D799" s="13" t="s">
        <v>1907</v>
      </c>
      <c r="E799" s="10">
        <v>1167918555</v>
      </c>
      <c r="F799" t="s">
        <v>35</v>
      </c>
      <c r="G799" t="s">
        <v>1908</v>
      </c>
      <c r="H799" s="14">
        <v>3</v>
      </c>
      <c r="I799" s="10" t="s">
        <v>28</v>
      </c>
      <c r="J799" s="1">
        <v>45594</v>
      </c>
      <c r="K799" s="1">
        <v>45626</v>
      </c>
      <c r="L799" s="25">
        <f ca="1">CLIENTES[[#This Row],[Fecha Vencimiento]]-$J$6</f>
        <v>31</v>
      </c>
      <c r="N799" s="1" t="str">
        <f t="shared" ca="1" si="24"/>
        <v>Al dia</v>
      </c>
      <c r="O799" s="19"/>
      <c r="P799" s="2"/>
      <c r="Q799" s="2">
        <f t="shared" si="25"/>
        <v>0</v>
      </c>
    </row>
    <row r="800" spans="3:17" x14ac:dyDescent="0.25">
      <c r="C800" s="13" t="s">
        <v>1909</v>
      </c>
      <c r="D800" s="13" t="s">
        <v>1910</v>
      </c>
      <c r="E800" s="10">
        <v>1123495376</v>
      </c>
      <c r="F800" t="s">
        <v>35</v>
      </c>
      <c r="G800" t="s">
        <v>1911</v>
      </c>
      <c r="H800" s="14">
        <v>3</v>
      </c>
      <c r="I800" s="10" t="s">
        <v>28</v>
      </c>
      <c r="J800" s="1">
        <v>45581</v>
      </c>
      <c r="K800" s="1">
        <v>45571</v>
      </c>
      <c r="L800" s="25">
        <f ca="1">CLIENTES[[#This Row],[Fecha Vencimiento]]-$J$6</f>
        <v>-24</v>
      </c>
      <c r="N800" s="1" t="str">
        <f t="shared" ca="1" si="24"/>
        <v>Vencido</v>
      </c>
      <c r="O800" s="19"/>
      <c r="P800" s="2"/>
      <c r="Q800" s="2">
        <f t="shared" si="25"/>
        <v>0</v>
      </c>
    </row>
    <row r="801" spans="3:17" x14ac:dyDescent="0.25">
      <c r="C801" t="s">
        <v>1909</v>
      </c>
      <c r="D801" t="s">
        <v>1912</v>
      </c>
      <c r="E801" s="10">
        <v>1123495376</v>
      </c>
      <c r="F801" t="s">
        <v>35</v>
      </c>
      <c r="G801" t="s">
        <v>1913</v>
      </c>
      <c r="H801" s="14">
        <v>1</v>
      </c>
      <c r="I801" s="10" t="s">
        <v>28</v>
      </c>
      <c r="J801" s="1">
        <v>45567</v>
      </c>
      <c r="K801" s="1">
        <v>45598</v>
      </c>
      <c r="L801" s="25">
        <f ca="1">CLIENTES[[#This Row],[Fecha Vencimiento]]-$J$6</f>
        <v>3</v>
      </c>
      <c r="N801" s="1" t="str">
        <f t="shared" ca="1" si="24"/>
        <v>Por vencer</v>
      </c>
      <c r="O801" s="19">
        <v>45567</v>
      </c>
      <c r="P801" s="2"/>
      <c r="Q801" s="2">
        <f t="shared" si="25"/>
        <v>-45567</v>
      </c>
    </row>
    <row r="802" spans="3:17" x14ac:dyDescent="0.25">
      <c r="C802" s="13" t="s">
        <v>1914</v>
      </c>
      <c r="D802" s="13" t="s">
        <v>1915</v>
      </c>
      <c r="F802" t="s">
        <v>35</v>
      </c>
      <c r="G802" t="s">
        <v>1916</v>
      </c>
      <c r="I802" s="10" t="s">
        <v>28</v>
      </c>
      <c r="J802" s="1">
        <v>45496</v>
      </c>
      <c r="K802" s="1">
        <v>45527</v>
      </c>
      <c r="L802" s="25">
        <f ca="1">CLIENTES[[#This Row],[Fecha Vencimiento]]-$J$6</f>
        <v>-68</v>
      </c>
      <c r="N802" s="1" t="str">
        <f t="shared" ca="1" si="24"/>
        <v>Vencido</v>
      </c>
      <c r="O802" s="19"/>
      <c r="P802" s="2"/>
      <c r="Q802" s="2">
        <f t="shared" si="25"/>
        <v>0</v>
      </c>
    </row>
    <row r="803" spans="3:17" x14ac:dyDescent="0.25">
      <c r="C803" s="13" t="s">
        <v>1917</v>
      </c>
      <c r="D803" s="13" t="s">
        <v>1918</v>
      </c>
      <c r="E803" s="10">
        <v>1132363212</v>
      </c>
      <c r="F803" t="s">
        <v>35</v>
      </c>
      <c r="G803" t="s">
        <v>1919</v>
      </c>
      <c r="H803" s="14">
        <v>3</v>
      </c>
      <c r="I803" s="10" t="s">
        <v>28</v>
      </c>
      <c r="J803" s="1">
        <v>45580</v>
      </c>
      <c r="K803" s="1">
        <v>45611</v>
      </c>
      <c r="L803" s="25">
        <f ca="1">CLIENTES[[#This Row],[Fecha Vencimiento]]-$J$6</f>
        <v>16</v>
      </c>
      <c r="N803" s="1" t="str">
        <f t="shared" ca="1" si="24"/>
        <v>Al dia</v>
      </c>
      <c r="O803" s="19"/>
      <c r="P803" s="2"/>
      <c r="Q803" s="2">
        <f t="shared" si="25"/>
        <v>0</v>
      </c>
    </row>
    <row r="804" spans="3:17" x14ac:dyDescent="0.25">
      <c r="C804" s="13" t="s">
        <v>1920</v>
      </c>
      <c r="D804" s="13" t="s">
        <v>1921</v>
      </c>
      <c r="E804" s="10" t="s">
        <v>2931</v>
      </c>
      <c r="F804" t="s">
        <v>35</v>
      </c>
      <c r="G804" t="s">
        <v>1922</v>
      </c>
      <c r="H804" s="14">
        <v>1</v>
      </c>
      <c r="I804" s="10" t="s">
        <v>28</v>
      </c>
      <c r="J804" s="1">
        <v>45555</v>
      </c>
      <c r="K804" s="1">
        <v>45585</v>
      </c>
      <c r="L804" s="25">
        <f ca="1">CLIENTES[[#This Row],[Fecha Vencimiento]]-$J$6</f>
        <v>-10</v>
      </c>
      <c r="N804" s="1" t="str">
        <f t="shared" ca="1" si="24"/>
        <v>Vencido</v>
      </c>
      <c r="O804" s="19">
        <v>45555</v>
      </c>
      <c r="P804" s="2"/>
      <c r="Q804" s="2">
        <f t="shared" si="25"/>
        <v>-45555</v>
      </c>
    </row>
    <row r="805" spans="3:17" x14ac:dyDescent="0.25">
      <c r="C805" s="13" t="s">
        <v>1923</v>
      </c>
      <c r="D805" s="13" t="s">
        <v>1924</v>
      </c>
      <c r="E805" s="10">
        <v>1132075429</v>
      </c>
      <c r="F805" t="s">
        <v>35</v>
      </c>
      <c r="G805" t="s">
        <v>1925</v>
      </c>
      <c r="H805" s="14">
        <v>5</v>
      </c>
      <c r="I805" s="10" t="s">
        <v>28</v>
      </c>
      <c r="J805" s="1">
        <v>45575</v>
      </c>
      <c r="K805" s="1">
        <v>45607</v>
      </c>
      <c r="L805" s="25">
        <f ca="1">CLIENTES[[#This Row],[Fecha Vencimiento]]-$J$6</f>
        <v>12</v>
      </c>
      <c r="N805" s="1" t="str">
        <f t="shared" ca="1" si="24"/>
        <v>Al dia</v>
      </c>
      <c r="O805" s="19"/>
      <c r="P805" s="2"/>
      <c r="Q805" s="2">
        <f t="shared" si="25"/>
        <v>0</v>
      </c>
    </row>
    <row r="806" spans="3:17" x14ac:dyDescent="0.25">
      <c r="C806" s="13" t="s">
        <v>1926</v>
      </c>
      <c r="D806" s="13" t="s">
        <v>1927</v>
      </c>
      <c r="F806" t="s">
        <v>26</v>
      </c>
      <c r="G806" t="s">
        <v>1928</v>
      </c>
      <c r="H806" s="14">
        <v>1</v>
      </c>
      <c r="I806" s="10" t="s">
        <v>28</v>
      </c>
      <c r="J806" s="1">
        <v>45583</v>
      </c>
      <c r="K806" s="1">
        <v>45614</v>
      </c>
      <c r="L806" s="25">
        <f ca="1">CLIENTES[[#This Row],[Fecha Vencimiento]]-$J$6</f>
        <v>19</v>
      </c>
      <c r="N806" s="1" t="str">
        <f t="shared" ca="1" si="24"/>
        <v>Al dia</v>
      </c>
      <c r="O806" s="19">
        <v>45583</v>
      </c>
      <c r="P806" s="2"/>
      <c r="Q806" s="2">
        <f t="shared" si="25"/>
        <v>-45583</v>
      </c>
    </row>
    <row r="807" spans="3:17" x14ac:dyDescent="0.25">
      <c r="C807" s="13" t="s">
        <v>1929</v>
      </c>
      <c r="D807" s="13" t="s">
        <v>1930</v>
      </c>
      <c r="F807" t="s">
        <v>159</v>
      </c>
      <c r="G807" t="s">
        <v>1931</v>
      </c>
      <c r="H807" s="14">
        <v>3</v>
      </c>
      <c r="I807" s="10" t="s">
        <v>75</v>
      </c>
      <c r="J807" s="1">
        <v>45475</v>
      </c>
      <c r="K807" s="1">
        <v>45499</v>
      </c>
      <c r="L807" s="25">
        <f ca="1">CLIENTES[[#This Row],[Fecha Vencimiento]]-$J$6</f>
        <v>-96</v>
      </c>
      <c r="N807" s="1" t="str">
        <f t="shared" ca="1" si="24"/>
        <v>Vencido</v>
      </c>
      <c r="O807" s="19"/>
      <c r="P807" s="2"/>
      <c r="Q807" s="2">
        <f t="shared" si="25"/>
        <v>0</v>
      </c>
    </row>
    <row r="808" spans="3:17" x14ac:dyDescent="0.25">
      <c r="C808" s="13" t="s">
        <v>1932</v>
      </c>
      <c r="D808" s="13" t="s">
        <v>1933</v>
      </c>
      <c r="F808" t="s">
        <v>35</v>
      </c>
      <c r="G808" t="s">
        <v>1934</v>
      </c>
      <c r="I808" s="10" t="s">
        <v>28</v>
      </c>
      <c r="J808" s="1">
        <v>45456</v>
      </c>
      <c r="K808" s="1">
        <v>45486</v>
      </c>
      <c r="L808" s="25">
        <f ca="1">CLIENTES[[#This Row],[Fecha Vencimiento]]-$J$6</f>
        <v>-109</v>
      </c>
      <c r="N808" s="1" t="str">
        <f t="shared" ca="1" si="24"/>
        <v>Vencido</v>
      </c>
      <c r="O808" s="19"/>
      <c r="P808" s="2"/>
      <c r="Q808" s="2">
        <f t="shared" si="25"/>
        <v>0</v>
      </c>
    </row>
    <row r="809" spans="3:17" x14ac:dyDescent="0.25">
      <c r="C809" s="13" t="s">
        <v>1935</v>
      </c>
      <c r="D809" s="13" t="s">
        <v>1936</v>
      </c>
      <c r="E809" s="10">
        <v>1171029905</v>
      </c>
      <c r="F809" t="s">
        <v>35</v>
      </c>
      <c r="G809" t="s">
        <v>1937</v>
      </c>
      <c r="H809" s="14">
        <v>6</v>
      </c>
      <c r="I809" s="10" t="s">
        <v>28</v>
      </c>
      <c r="J809" s="1">
        <v>45579</v>
      </c>
      <c r="K809" s="1">
        <v>45610</v>
      </c>
      <c r="L809" s="25">
        <f ca="1">CLIENTES[[#This Row],[Fecha Vencimiento]]-$J$6</f>
        <v>15</v>
      </c>
      <c r="N809" s="1" t="str">
        <f t="shared" ca="1" si="24"/>
        <v>Al dia</v>
      </c>
      <c r="O809" s="19"/>
      <c r="P809" s="2"/>
      <c r="Q809" s="2">
        <f t="shared" si="25"/>
        <v>0</v>
      </c>
    </row>
    <row r="810" spans="3:17" x14ac:dyDescent="0.25">
      <c r="C810" s="13" t="s">
        <v>1935</v>
      </c>
      <c r="D810" s="13" t="s">
        <v>1938</v>
      </c>
      <c r="E810" s="10">
        <v>1159745411</v>
      </c>
      <c r="F810" t="s">
        <v>159</v>
      </c>
      <c r="G810" t="s">
        <v>1939</v>
      </c>
      <c r="H810" s="14">
        <v>5</v>
      </c>
      <c r="I810" s="10" t="s">
        <v>183</v>
      </c>
      <c r="J810" s="1">
        <v>45583</v>
      </c>
      <c r="K810" s="1">
        <v>45614</v>
      </c>
      <c r="L810" s="25">
        <f ca="1">CLIENTES[[#This Row],[Fecha Vencimiento]]-$J$6</f>
        <v>19</v>
      </c>
      <c r="N810" s="1" t="str">
        <f t="shared" ca="1" si="24"/>
        <v>Al dia</v>
      </c>
      <c r="O810" s="19"/>
      <c r="P810" s="2"/>
      <c r="Q810" s="2">
        <f t="shared" si="25"/>
        <v>0</v>
      </c>
    </row>
    <row r="811" spans="3:17" x14ac:dyDescent="0.25">
      <c r="C811" s="13" t="s">
        <v>1935</v>
      </c>
      <c r="D811" s="13" t="s">
        <v>1940</v>
      </c>
      <c r="F811" t="s">
        <v>159</v>
      </c>
      <c r="G811" t="s">
        <v>1941</v>
      </c>
      <c r="H811" s="14">
        <v>2</v>
      </c>
      <c r="I811" s="10" t="s">
        <v>183</v>
      </c>
      <c r="J811" s="1">
        <v>45477</v>
      </c>
      <c r="K811" s="1">
        <v>45496</v>
      </c>
      <c r="L811" s="25">
        <f ca="1">CLIENTES[[#This Row],[Fecha Vencimiento]]-$J$6</f>
        <v>-99</v>
      </c>
      <c r="N811" s="1" t="str">
        <f t="shared" ca="1" si="24"/>
        <v>Vencido</v>
      </c>
      <c r="O811" s="19"/>
      <c r="P811" s="2"/>
      <c r="Q811" s="2">
        <f t="shared" si="25"/>
        <v>0</v>
      </c>
    </row>
    <row r="812" spans="3:17" x14ac:dyDescent="0.25">
      <c r="C812" s="13" t="s">
        <v>1935</v>
      </c>
      <c r="D812" s="13" t="s">
        <v>1942</v>
      </c>
      <c r="E812" s="10">
        <v>133130640</v>
      </c>
      <c r="F812" t="s">
        <v>35</v>
      </c>
      <c r="G812" t="s">
        <v>1943</v>
      </c>
      <c r="H812" s="14">
        <v>2</v>
      </c>
      <c r="I812" s="10" t="s">
        <v>28</v>
      </c>
      <c r="J812" s="1">
        <v>45574</v>
      </c>
      <c r="K812" s="1">
        <v>45606</v>
      </c>
      <c r="L812" s="25">
        <f ca="1">CLIENTES[[#This Row],[Fecha Vencimiento]]-$J$6</f>
        <v>11</v>
      </c>
      <c r="N812" s="1" t="str">
        <f t="shared" ca="1" si="24"/>
        <v>Al dia</v>
      </c>
      <c r="O812" s="19">
        <v>45545</v>
      </c>
      <c r="P812" s="2"/>
      <c r="Q812" s="2">
        <f t="shared" si="25"/>
        <v>-45545</v>
      </c>
    </row>
    <row r="813" spans="3:17" x14ac:dyDescent="0.25">
      <c r="C813" s="13" t="s">
        <v>1944</v>
      </c>
      <c r="D813" s="13" t="s">
        <v>1945</v>
      </c>
      <c r="F813" t="s">
        <v>35</v>
      </c>
      <c r="G813" t="s">
        <v>1946</v>
      </c>
      <c r="I813" s="10" t="s">
        <v>28</v>
      </c>
      <c r="J813" s="1">
        <v>45471</v>
      </c>
      <c r="K813" s="1">
        <v>45501</v>
      </c>
      <c r="L813" s="25">
        <f ca="1">CLIENTES[[#This Row],[Fecha Vencimiento]]-$J$6</f>
        <v>-94</v>
      </c>
      <c r="N813" s="1" t="str">
        <f t="shared" ca="1" si="24"/>
        <v>Vencido</v>
      </c>
      <c r="O813" s="19"/>
      <c r="P813" s="2"/>
      <c r="Q813" s="2">
        <f t="shared" si="25"/>
        <v>0</v>
      </c>
    </row>
    <row r="814" spans="3:17" x14ac:dyDescent="0.25">
      <c r="C814" s="13" t="s">
        <v>1947</v>
      </c>
      <c r="D814" s="13" t="s">
        <v>1948</v>
      </c>
      <c r="F814" t="s">
        <v>35</v>
      </c>
      <c r="G814" t="s">
        <v>1949</v>
      </c>
      <c r="I814" s="10" t="s">
        <v>28</v>
      </c>
      <c r="J814" s="1">
        <v>45477</v>
      </c>
      <c r="K814" s="1">
        <v>45508</v>
      </c>
      <c r="L814" s="25">
        <f ca="1">CLIENTES[[#This Row],[Fecha Vencimiento]]-$J$6</f>
        <v>-87</v>
      </c>
      <c r="N814" s="1" t="str">
        <f t="shared" ca="1" si="24"/>
        <v>Vencido</v>
      </c>
      <c r="O814" s="19"/>
      <c r="P814" s="2"/>
      <c r="Q814" s="2">
        <f t="shared" si="25"/>
        <v>0</v>
      </c>
    </row>
    <row r="815" spans="3:17" x14ac:dyDescent="0.25">
      <c r="C815" s="13" t="s">
        <v>1950</v>
      </c>
      <c r="D815" s="13" t="s">
        <v>1951</v>
      </c>
      <c r="E815" s="10">
        <v>1124024667</v>
      </c>
      <c r="F815" t="s">
        <v>35</v>
      </c>
      <c r="G815" t="s">
        <v>1952</v>
      </c>
      <c r="H815" s="14">
        <v>3</v>
      </c>
      <c r="I815" s="10" t="s">
        <v>28</v>
      </c>
      <c r="J815" s="1">
        <v>45570</v>
      </c>
      <c r="K815" s="1">
        <v>45609</v>
      </c>
      <c r="L815" s="25">
        <f ca="1">CLIENTES[[#This Row],[Fecha Vencimiento]]-$J$6</f>
        <v>14</v>
      </c>
      <c r="N815" s="1" t="str">
        <f t="shared" ca="1" si="24"/>
        <v>Al dia</v>
      </c>
      <c r="O815" s="19"/>
      <c r="P815" s="2"/>
      <c r="Q815" s="2">
        <f t="shared" si="25"/>
        <v>0</v>
      </c>
    </row>
    <row r="816" spans="3:17" x14ac:dyDescent="0.25">
      <c r="C816" s="13" t="s">
        <v>1950</v>
      </c>
      <c r="D816" s="13" t="s">
        <v>1953</v>
      </c>
      <c r="F816" t="s">
        <v>35</v>
      </c>
      <c r="G816" t="s">
        <v>1954</v>
      </c>
      <c r="H816" s="14">
        <v>2</v>
      </c>
      <c r="I816" s="10" t="s">
        <v>28</v>
      </c>
      <c r="J816" s="1">
        <v>45527</v>
      </c>
      <c r="K816" s="1">
        <v>45557</v>
      </c>
      <c r="L816" s="25">
        <f ca="1">CLIENTES[[#This Row],[Fecha Vencimiento]]-$J$6</f>
        <v>-38</v>
      </c>
      <c r="N816" s="1" t="str">
        <f t="shared" ca="1" si="24"/>
        <v>Vencido</v>
      </c>
      <c r="O816" s="19"/>
      <c r="P816" s="2"/>
      <c r="Q816" s="2">
        <f t="shared" si="25"/>
        <v>0</v>
      </c>
    </row>
    <row r="817" spans="3:17" x14ac:dyDescent="0.25">
      <c r="C817" s="13" t="s">
        <v>1950</v>
      </c>
      <c r="D817" s="13" t="s">
        <v>1955</v>
      </c>
      <c r="E817" s="10">
        <v>1155653119</v>
      </c>
      <c r="F817" t="s">
        <v>35</v>
      </c>
      <c r="G817" t="s">
        <v>1956</v>
      </c>
      <c r="H817" s="14">
        <v>2</v>
      </c>
      <c r="I817" s="10" t="s">
        <v>28</v>
      </c>
      <c r="J817" s="1">
        <v>45579</v>
      </c>
      <c r="K817" s="1">
        <v>45608</v>
      </c>
      <c r="L817" s="25">
        <f ca="1">CLIENTES[[#This Row],[Fecha Vencimiento]]-$J$6</f>
        <v>13</v>
      </c>
      <c r="N817" s="1" t="str">
        <f t="shared" ca="1" si="24"/>
        <v>Al dia</v>
      </c>
      <c r="O817" s="19">
        <v>45547</v>
      </c>
      <c r="P817" s="2"/>
      <c r="Q817" s="2">
        <f t="shared" si="25"/>
        <v>-45547</v>
      </c>
    </row>
    <row r="818" spans="3:17" x14ac:dyDescent="0.25">
      <c r="C818" s="13" t="s">
        <v>1950</v>
      </c>
      <c r="D818" s="13" t="s">
        <v>1957</v>
      </c>
      <c r="E818" s="10">
        <v>5493625227327</v>
      </c>
      <c r="F818" t="s">
        <v>35</v>
      </c>
      <c r="G818" t="s">
        <v>1958</v>
      </c>
      <c r="H818" s="14">
        <v>4</v>
      </c>
      <c r="I818" s="10" t="s">
        <v>28</v>
      </c>
      <c r="J818" s="1">
        <v>45572</v>
      </c>
      <c r="K818" s="1">
        <v>45608</v>
      </c>
      <c r="L818" s="25">
        <f ca="1">CLIENTES[[#This Row],[Fecha Vencimiento]]-$J$6</f>
        <v>13</v>
      </c>
      <c r="N818" s="1" t="str">
        <f t="shared" ca="1" si="24"/>
        <v>Al dia</v>
      </c>
      <c r="O818" s="19"/>
      <c r="P818" s="2"/>
      <c r="Q818" s="2">
        <f t="shared" si="25"/>
        <v>0</v>
      </c>
    </row>
    <row r="819" spans="3:17" x14ac:dyDescent="0.25">
      <c r="C819" s="13" t="s">
        <v>1950</v>
      </c>
      <c r="D819" s="13" t="s">
        <v>1957</v>
      </c>
      <c r="E819" s="10">
        <v>3625227327</v>
      </c>
      <c r="F819" t="s">
        <v>35</v>
      </c>
      <c r="G819" t="s">
        <v>1959</v>
      </c>
      <c r="H819" s="14">
        <v>5</v>
      </c>
      <c r="I819" s="10" t="s">
        <v>28</v>
      </c>
      <c r="J819" s="1">
        <v>45572</v>
      </c>
      <c r="K819" s="1">
        <v>45599</v>
      </c>
      <c r="L819" s="25">
        <f ca="1">CLIENTES[[#This Row],[Fecha Vencimiento]]-$J$6</f>
        <v>4</v>
      </c>
      <c r="N819" s="1" t="str">
        <f t="shared" ref="N819:N882" ca="1" si="26">IF(L819&lt;0,"Vencido",IF(L819=0,"Vence hoy",IF(L819&lt;4,"Por vencer","Al dia")))</f>
        <v>Al dia</v>
      </c>
      <c r="O819" s="19"/>
      <c r="P819" s="2"/>
      <c r="Q819" s="2">
        <f t="shared" si="25"/>
        <v>0</v>
      </c>
    </row>
    <row r="820" spans="3:17" x14ac:dyDescent="0.25">
      <c r="C820" s="13" t="s">
        <v>1960</v>
      </c>
      <c r="D820" s="13" t="s">
        <v>1961</v>
      </c>
      <c r="F820" t="s">
        <v>35</v>
      </c>
      <c r="G820" t="s">
        <v>1962</v>
      </c>
      <c r="I820" s="10" t="s">
        <v>28</v>
      </c>
      <c r="J820" s="1">
        <v>45448</v>
      </c>
      <c r="K820" s="1">
        <v>45483</v>
      </c>
      <c r="L820" s="25">
        <f ca="1">CLIENTES[[#This Row],[Fecha Vencimiento]]-$J$6</f>
        <v>-112</v>
      </c>
      <c r="N820" s="1" t="str">
        <f t="shared" ca="1" si="26"/>
        <v>Vencido</v>
      </c>
      <c r="O820" s="19"/>
      <c r="P820" s="2"/>
      <c r="Q820" s="2">
        <f t="shared" si="25"/>
        <v>0</v>
      </c>
    </row>
    <row r="821" spans="3:17" x14ac:dyDescent="0.25">
      <c r="C821" s="13" t="s">
        <v>1963</v>
      </c>
      <c r="D821" s="13" t="s">
        <v>1964</v>
      </c>
      <c r="F821" t="s">
        <v>35</v>
      </c>
      <c r="G821" t="s">
        <v>1965</v>
      </c>
      <c r="I821" s="10" t="s">
        <v>28</v>
      </c>
      <c r="J821" s="1">
        <v>45475</v>
      </c>
      <c r="K821" s="1">
        <v>45483</v>
      </c>
      <c r="L821" s="25">
        <f ca="1">CLIENTES[[#This Row],[Fecha Vencimiento]]-$J$6</f>
        <v>-112</v>
      </c>
      <c r="N821" s="1" t="str">
        <f t="shared" ca="1" si="26"/>
        <v>Vencido</v>
      </c>
      <c r="O821" s="19"/>
      <c r="P821" s="2"/>
      <c r="Q821" s="2">
        <f t="shared" si="25"/>
        <v>0</v>
      </c>
    </row>
    <row r="822" spans="3:17" x14ac:dyDescent="0.25">
      <c r="C822" s="13" t="s">
        <v>1966</v>
      </c>
      <c r="D822" s="13" t="s">
        <v>1967</v>
      </c>
      <c r="F822" t="s">
        <v>35</v>
      </c>
      <c r="G822" t="s">
        <v>1968</v>
      </c>
      <c r="H822" s="14">
        <v>3</v>
      </c>
      <c r="I822" s="10" t="s">
        <v>28</v>
      </c>
      <c r="J822" s="1">
        <v>45572</v>
      </c>
      <c r="K822" s="1">
        <v>45604</v>
      </c>
      <c r="L822" s="25">
        <f ca="1">CLIENTES[[#This Row],[Fecha Vencimiento]]-$J$6</f>
        <v>9</v>
      </c>
      <c r="N822" s="1" t="str">
        <f t="shared" ca="1" si="26"/>
        <v>Al dia</v>
      </c>
      <c r="O822" s="19"/>
      <c r="P822" s="2"/>
      <c r="Q822" s="2">
        <f t="shared" si="25"/>
        <v>0</v>
      </c>
    </row>
    <row r="823" spans="3:17" x14ac:dyDescent="0.25">
      <c r="C823" s="13" t="s">
        <v>1966</v>
      </c>
      <c r="D823" s="13" t="s">
        <v>169</v>
      </c>
      <c r="E823" s="10">
        <v>1156569677</v>
      </c>
      <c r="F823" t="s">
        <v>35</v>
      </c>
      <c r="G823" t="s">
        <v>1969</v>
      </c>
      <c r="H823" s="14">
        <v>5</v>
      </c>
      <c r="I823" s="10" t="s">
        <v>28</v>
      </c>
      <c r="J823" s="1">
        <v>45576</v>
      </c>
      <c r="K823" s="1">
        <v>45597</v>
      </c>
      <c r="L823" s="25">
        <f ca="1">CLIENTES[[#This Row],[Fecha Vencimiento]]-$J$6</f>
        <v>2</v>
      </c>
      <c r="N823" s="1" t="str">
        <f t="shared" ca="1" si="26"/>
        <v>Por vencer</v>
      </c>
      <c r="O823" s="19"/>
      <c r="P823" s="2"/>
      <c r="Q823" s="2">
        <f t="shared" si="25"/>
        <v>0</v>
      </c>
    </row>
    <row r="824" spans="3:17" x14ac:dyDescent="0.25">
      <c r="C824" s="13" t="s">
        <v>1966</v>
      </c>
      <c r="D824" s="13" t="s">
        <v>169</v>
      </c>
      <c r="E824" s="10">
        <v>1156569677</v>
      </c>
      <c r="F824" t="s">
        <v>35</v>
      </c>
      <c r="G824" t="s">
        <v>1970</v>
      </c>
      <c r="I824" s="10" t="s">
        <v>28</v>
      </c>
      <c r="J824" s="1">
        <v>45520</v>
      </c>
      <c r="K824" s="1">
        <v>45536</v>
      </c>
      <c r="L824" s="25">
        <f ca="1">CLIENTES[[#This Row],[Fecha Vencimiento]]-$J$6</f>
        <v>-59</v>
      </c>
      <c r="N824" s="1" t="str">
        <f t="shared" ca="1" si="26"/>
        <v>Vencido</v>
      </c>
      <c r="O824" s="19"/>
      <c r="P824" s="2"/>
      <c r="Q824" s="2">
        <f t="shared" si="25"/>
        <v>0</v>
      </c>
    </row>
    <row r="825" spans="3:17" x14ac:dyDescent="0.25">
      <c r="C825" s="13" t="s">
        <v>1966</v>
      </c>
      <c r="D825" s="13" t="s">
        <v>214</v>
      </c>
      <c r="E825" s="10">
        <v>1161282197</v>
      </c>
      <c r="F825" t="s">
        <v>26</v>
      </c>
      <c r="G825" t="s">
        <v>1971</v>
      </c>
      <c r="H825" s="14">
        <v>1</v>
      </c>
      <c r="I825" s="10" t="s">
        <v>28</v>
      </c>
      <c r="J825" s="1">
        <v>45558</v>
      </c>
      <c r="K825" s="1">
        <v>45588</v>
      </c>
      <c r="L825" s="25">
        <f ca="1">CLIENTES[[#This Row],[Fecha Vencimiento]]-$J$6</f>
        <v>-7</v>
      </c>
      <c r="N825" s="1" t="str">
        <f t="shared" ca="1" si="26"/>
        <v>Vencido</v>
      </c>
      <c r="O825" s="19">
        <v>45558</v>
      </c>
      <c r="P825" s="2"/>
      <c r="Q825" s="2">
        <f t="shared" si="25"/>
        <v>-45558</v>
      </c>
    </row>
    <row r="826" spans="3:17" x14ac:dyDescent="0.25">
      <c r="C826" s="13" t="s">
        <v>1966</v>
      </c>
      <c r="D826" s="13" t="s">
        <v>968</v>
      </c>
      <c r="E826" s="10">
        <v>122931308</v>
      </c>
      <c r="F826" t="s">
        <v>26</v>
      </c>
      <c r="G826" t="s">
        <v>1972</v>
      </c>
      <c r="H826" s="14">
        <v>1</v>
      </c>
      <c r="I826" s="10" t="s">
        <v>28</v>
      </c>
      <c r="J826" s="1">
        <v>45568</v>
      </c>
      <c r="K826" s="1">
        <v>45599</v>
      </c>
      <c r="L826" s="25">
        <f ca="1">CLIENTES[[#This Row],[Fecha Vencimiento]]-$J$6</f>
        <v>4</v>
      </c>
      <c r="N826" s="1" t="str">
        <f t="shared" ca="1" si="26"/>
        <v>Al dia</v>
      </c>
      <c r="O826" s="19">
        <v>45568</v>
      </c>
      <c r="P826" s="2"/>
      <c r="Q826" s="2">
        <f t="shared" si="25"/>
        <v>-45568</v>
      </c>
    </row>
    <row r="827" spans="3:17" x14ac:dyDescent="0.25">
      <c r="C827" s="13" t="s">
        <v>1973</v>
      </c>
      <c r="D827" s="13" t="s">
        <v>1974</v>
      </c>
      <c r="E827" s="10">
        <v>1128801070</v>
      </c>
      <c r="F827" t="s">
        <v>35</v>
      </c>
      <c r="G827" t="s">
        <v>1975</v>
      </c>
      <c r="H827" s="14">
        <v>4</v>
      </c>
      <c r="I827" s="10" t="s">
        <v>28</v>
      </c>
      <c r="J827" s="1">
        <v>45574</v>
      </c>
      <c r="K827" s="1">
        <v>45608</v>
      </c>
      <c r="L827" s="25">
        <f ca="1">CLIENTES[[#This Row],[Fecha Vencimiento]]-$J$6</f>
        <v>13</v>
      </c>
      <c r="N827" s="1" t="str">
        <f t="shared" ca="1" si="26"/>
        <v>Al dia</v>
      </c>
      <c r="O827" s="19"/>
      <c r="P827" s="2"/>
      <c r="Q827" s="2">
        <f t="shared" si="25"/>
        <v>0</v>
      </c>
    </row>
    <row r="828" spans="3:17" x14ac:dyDescent="0.25">
      <c r="C828" s="13" t="s">
        <v>1976</v>
      </c>
      <c r="D828" s="13" t="s">
        <v>374</v>
      </c>
      <c r="F828" t="s">
        <v>35</v>
      </c>
      <c r="G828" t="s">
        <v>1977</v>
      </c>
      <c r="H828" s="14">
        <v>1</v>
      </c>
      <c r="I828" s="10" t="s">
        <v>28</v>
      </c>
      <c r="J828" s="1">
        <v>45590</v>
      </c>
      <c r="K828" s="1">
        <v>45621</v>
      </c>
      <c r="L828" s="25">
        <f ca="1">CLIENTES[[#This Row],[Fecha Vencimiento]]-$J$6</f>
        <v>26</v>
      </c>
      <c r="N828" s="1" t="str">
        <f t="shared" ca="1" si="26"/>
        <v>Al dia</v>
      </c>
      <c r="O828" s="19"/>
      <c r="P828" s="2"/>
      <c r="Q828" s="2">
        <f t="shared" si="25"/>
        <v>0</v>
      </c>
    </row>
    <row r="829" spans="3:17" x14ac:dyDescent="0.25">
      <c r="C829" s="13" t="s">
        <v>1976</v>
      </c>
      <c r="D829" s="13" t="s">
        <v>374</v>
      </c>
      <c r="E829" s="10">
        <v>1150232388</v>
      </c>
      <c r="F829" t="s">
        <v>35</v>
      </c>
      <c r="G829" t="s">
        <v>1978</v>
      </c>
      <c r="H829" s="14">
        <v>2</v>
      </c>
      <c r="I829" s="10" t="s">
        <v>28</v>
      </c>
      <c r="J829" s="1">
        <v>45590</v>
      </c>
      <c r="K829" s="1">
        <v>45606</v>
      </c>
      <c r="L829" s="25">
        <f ca="1">CLIENTES[[#This Row],[Fecha Vencimiento]]-$J$6</f>
        <v>11</v>
      </c>
      <c r="N829" s="1" t="str">
        <f t="shared" ca="1" si="26"/>
        <v>Al dia</v>
      </c>
      <c r="O829" s="19">
        <v>45545</v>
      </c>
      <c r="P829" s="2"/>
      <c r="Q829" s="2">
        <f t="shared" si="25"/>
        <v>-45545</v>
      </c>
    </row>
    <row r="830" spans="3:17" x14ac:dyDescent="0.25">
      <c r="C830" s="13" t="s">
        <v>1976</v>
      </c>
      <c r="D830" s="13" t="s">
        <v>1979</v>
      </c>
      <c r="E830" s="10" t="s">
        <v>3127</v>
      </c>
      <c r="F830" t="s">
        <v>35</v>
      </c>
      <c r="G830" t="s">
        <v>1980</v>
      </c>
      <c r="H830" s="14">
        <v>6</v>
      </c>
      <c r="I830" s="10" t="s">
        <v>28</v>
      </c>
      <c r="J830" s="1">
        <v>45562</v>
      </c>
      <c r="K830" s="1">
        <v>45594</v>
      </c>
      <c r="L830" s="25">
        <f ca="1">CLIENTES[[#This Row],[Fecha Vencimiento]]-$J$6</f>
        <v>-1</v>
      </c>
      <c r="N830" s="1" t="str">
        <f t="shared" ca="1" si="26"/>
        <v>Vencido</v>
      </c>
      <c r="O830" s="19"/>
      <c r="P830" s="2"/>
      <c r="Q830" s="2">
        <f t="shared" si="25"/>
        <v>0</v>
      </c>
    </row>
    <row r="831" spans="3:17" x14ac:dyDescent="0.25">
      <c r="C831" s="13" t="s">
        <v>1976</v>
      </c>
      <c r="D831" s="13" t="s">
        <v>374</v>
      </c>
      <c r="E831" s="10">
        <v>1150232388</v>
      </c>
      <c r="F831" t="s">
        <v>35</v>
      </c>
      <c r="G831" t="s">
        <v>1981</v>
      </c>
      <c r="H831" s="14">
        <v>6</v>
      </c>
      <c r="I831" s="10" t="s">
        <v>28</v>
      </c>
      <c r="J831" s="1">
        <v>45545</v>
      </c>
      <c r="K831" s="1">
        <v>45575</v>
      </c>
      <c r="L831" s="25">
        <f ca="1">CLIENTES[[#This Row],[Fecha Vencimiento]]-$J$6</f>
        <v>-20</v>
      </c>
      <c r="N831" s="1" t="str">
        <f t="shared" ca="1" si="26"/>
        <v>Vencido</v>
      </c>
      <c r="O831" s="19"/>
      <c r="P831" s="2"/>
      <c r="Q831" s="2">
        <f t="shared" si="25"/>
        <v>0</v>
      </c>
    </row>
    <row r="832" spans="3:17" x14ac:dyDescent="0.25">
      <c r="C832" s="13" t="s">
        <v>1976</v>
      </c>
      <c r="D832" s="13" t="s">
        <v>374</v>
      </c>
      <c r="E832" s="10">
        <v>1150232388</v>
      </c>
      <c r="F832" t="s">
        <v>35</v>
      </c>
      <c r="G832" t="s">
        <v>1982</v>
      </c>
      <c r="H832" s="14">
        <v>1</v>
      </c>
      <c r="I832" s="10" t="s">
        <v>28</v>
      </c>
      <c r="J832" s="1">
        <v>45567</v>
      </c>
      <c r="K832" s="1">
        <v>45598</v>
      </c>
      <c r="L832" s="25">
        <f ca="1">CLIENTES[[#This Row],[Fecha Vencimiento]]-$J$6</f>
        <v>3</v>
      </c>
      <c r="N832" s="1" t="str">
        <f t="shared" ca="1" si="26"/>
        <v>Por vencer</v>
      </c>
      <c r="O832" s="19">
        <v>45567</v>
      </c>
      <c r="P832" s="2"/>
      <c r="Q832" s="2">
        <f t="shared" si="25"/>
        <v>-45567</v>
      </c>
    </row>
    <row r="833" spans="3:17" x14ac:dyDescent="0.25">
      <c r="C833" t="s">
        <v>1976</v>
      </c>
      <c r="D833" t="s">
        <v>1513</v>
      </c>
      <c r="E833" s="10" t="s">
        <v>2931</v>
      </c>
      <c r="F833" t="s">
        <v>1982</v>
      </c>
      <c r="H833" s="14">
        <v>1</v>
      </c>
      <c r="I833" s="10" t="s">
        <v>28</v>
      </c>
      <c r="J833" s="1">
        <v>45567</v>
      </c>
      <c r="K833" s="1">
        <v>45598</v>
      </c>
      <c r="L833" s="26">
        <f ca="1">CLIENTES[[#This Row],[Fecha Vencimiento]]-$J$6</f>
        <v>3</v>
      </c>
      <c r="N833" s="1" t="str">
        <f t="shared" ca="1" si="26"/>
        <v>Por vencer</v>
      </c>
      <c r="O833" s="19">
        <v>45567</v>
      </c>
      <c r="P833" s="2"/>
      <c r="Q833" s="2">
        <f t="shared" si="25"/>
        <v>-45567</v>
      </c>
    </row>
    <row r="834" spans="3:17" x14ac:dyDescent="0.25">
      <c r="C834" s="13" t="s">
        <v>1983</v>
      </c>
      <c r="D834" s="13" t="s">
        <v>1984</v>
      </c>
      <c r="E834" s="10">
        <v>1144162354</v>
      </c>
      <c r="F834" t="s">
        <v>35</v>
      </c>
      <c r="G834" t="s">
        <v>1985</v>
      </c>
      <c r="H834" s="14">
        <v>7</v>
      </c>
      <c r="I834" s="10" t="s">
        <v>28</v>
      </c>
      <c r="J834" s="1">
        <v>45584</v>
      </c>
      <c r="K834" s="1">
        <v>45616</v>
      </c>
      <c r="L834" s="25">
        <f ca="1">CLIENTES[[#This Row],[Fecha Vencimiento]]-$J$6</f>
        <v>21</v>
      </c>
      <c r="N834" s="1" t="str">
        <f t="shared" ca="1" si="26"/>
        <v>Al dia</v>
      </c>
      <c r="O834" s="19"/>
      <c r="P834" s="2"/>
      <c r="Q834" s="2">
        <f t="shared" si="25"/>
        <v>0</v>
      </c>
    </row>
    <row r="835" spans="3:17" x14ac:dyDescent="0.25">
      <c r="C835" s="13" t="s">
        <v>1986</v>
      </c>
      <c r="D835" s="13" t="s">
        <v>1987</v>
      </c>
      <c r="E835" s="10">
        <v>1167895526</v>
      </c>
      <c r="F835" t="s">
        <v>35</v>
      </c>
      <c r="G835" t="s">
        <v>1988</v>
      </c>
      <c r="H835" s="14">
        <v>3</v>
      </c>
      <c r="I835" s="10" t="s">
        <v>28</v>
      </c>
      <c r="J835" s="1">
        <v>45573</v>
      </c>
      <c r="K835" s="1">
        <v>45597</v>
      </c>
      <c r="L835" s="25">
        <f ca="1">CLIENTES[[#This Row],[Fecha Vencimiento]]-$J$6</f>
        <v>2</v>
      </c>
      <c r="N835" s="1" t="str">
        <f t="shared" ca="1" si="26"/>
        <v>Por vencer</v>
      </c>
      <c r="O835" s="19"/>
      <c r="P835" s="2"/>
      <c r="Q835" s="2">
        <f t="shared" si="25"/>
        <v>0</v>
      </c>
    </row>
    <row r="836" spans="3:17" x14ac:dyDescent="0.25">
      <c r="C836" s="13" t="s">
        <v>1986</v>
      </c>
      <c r="D836" s="13" t="s">
        <v>1989</v>
      </c>
      <c r="E836" s="10">
        <v>1169887919</v>
      </c>
      <c r="F836" t="s">
        <v>35</v>
      </c>
      <c r="G836" t="s">
        <v>1990</v>
      </c>
      <c r="H836" s="14">
        <v>4</v>
      </c>
      <c r="I836" s="10" t="s">
        <v>28</v>
      </c>
      <c r="J836" s="1">
        <v>45593</v>
      </c>
      <c r="K836" s="1">
        <v>45623</v>
      </c>
      <c r="L836" s="25">
        <f ca="1">CLIENTES[[#This Row],[Fecha Vencimiento]]-$J$6</f>
        <v>28</v>
      </c>
      <c r="N836" s="1" t="str">
        <f t="shared" ca="1" si="26"/>
        <v>Al dia</v>
      </c>
      <c r="O836" s="19"/>
      <c r="P836" s="2"/>
      <c r="Q836" s="2">
        <f t="shared" si="25"/>
        <v>0</v>
      </c>
    </row>
    <row r="837" spans="3:17" x14ac:dyDescent="0.25">
      <c r="C837" s="13" t="s">
        <v>1986</v>
      </c>
      <c r="D837" s="13" t="s">
        <v>1989</v>
      </c>
      <c r="E837" s="10">
        <v>1169887919</v>
      </c>
      <c r="F837" t="s">
        <v>35</v>
      </c>
      <c r="G837" t="s">
        <v>1991</v>
      </c>
      <c r="H837" s="14">
        <v>4</v>
      </c>
      <c r="I837" s="10" t="s">
        <v>28</v>
      </c>
      <c r="J837" s="1">
        <v>45590</v>
      </c>
      <c r="K837" s="1">
        <v>45623</v>
      </c>
      <c r="L837" s="25">
        <f ca="1">CLIENTES[[#This Row],[Fecha Vencimiento]]-$J$6</f>
        <v>28</v>
      </c>
      <c r="N837" s="1" t="str">
        <f t="shared" ca="1" si="26"/>
        <v>Al dia</v>
      </c>
      <c r="O837" s="19"/>
      <c r="P837" s="2"/>
      <c r="Q837" s="2">
        <f t="shared" si="25"/>
        <v>0</v>
      </c>
    </row>
    <row r="838" spans="3:17" x14ac:dyDescent="0.25">
      <c r="C838" s="13" t="s">
        <v>1986</v>
      </c>
      <c r="D838" s="13" t="s">
        <v>1992</v>
      </c>
      <c r="E838" s="10" t="s">
        <v>3128</v>
      </c>
      <c r="F838" t="s">
        <v>35</v>
      </c>
      <c r="G838" t="s">
        <v>1993</v>
      </c>
      <c r="H838" s="14">
        <v>4</v>
      </c>
      <c r="I838" s="10" t="s">
        <v>28</v>
      </c>
      <c r="J838" s="1">
        <v>45593</v>
      </c>
      <c r="K838" s="1">
        <v>45624</v>
      </c>
      <c r="L838" s="25">
        <f ca="1">CLIENTES[[#This Row],[Fecha Vencimiento]]-$J$6</f>
        <v>29</v>
      </c>
      <c r="N838" s="1" t="str">
        <f t="shared" ca="1" si="26"/>
        <v>Al dia</v>
      </c>
      <c r="O838" s="19"/>
      <c r="P838" s="2"/>
      <c r="Q838" s="2">
        <f t="shared" si="25"/>
        <v>0</v>
      </c>
    </row>
    <row r="839" spans="3:17" x14ac:dyDescent="0.25">
      <c r="C839" s="13" t="s">
        <v>1986</v>
      </c>
      <c r="D839" s="13" t="s">
        <v>203</v>
      </c>
      <c r="E839" s="10">
        <v>1127264844</v>
      </c>
      <c r="F839" t="s">
        <v>35</v>
      </c>
      <c r="G839" t="s">
        <v>1994</v>
      </c>
      <c r="H839" s="14">
        <v>1</v>
      </c>
      <c r="I839" s="10" t="s">
        <v>28</v>
      </c>
      <c r="J839" s="1">
        <v>45565</v>
      </c>
      <c r="K839" s="1">
        <v>45595</v>
      </c>
      <c r="L839" s="25">
        <f ca="1">CLIENTES[[#This Row],[Fecha Vencimiento]]-$J$6</f>
        <v>0</v>
      </c>
      <c r="N839" s="1" t="str">
        <f t="shared" ca="1" si="26"/>
        <v>Vence hoy</v>
      </c>
      <c r="O839" s="19"/>
      <c r="P839" s="2"/>
      <c r="Q839" s="2">
        <f t="shared" si="25"/>
        <v>0</v>
      </c>
    </row>
    <row r="840" spans="3:17" x14ac:dyDescent="0.25">
      <c r="C840" s="13" t="s">
        <v>1995</v>
      </c>
      <c r="D840" s="13" t="s">
        <v>1996</v>
      </c>
      <c r="E840" s="10">
        <v>1140257643</v>
      </c>
      <c r="F840" t="s">
        <v>35</v>
      </c>
      <c r="G840" t="s">
        <v>1997</v>
      </c>
      <c r="H840" s="14">
        <v>2</v>
      </c>
      <c r="I840" s="10" t="s">
        <v>28</v>
      </c>
      <c r="J840" s="1">
        <v>45574</v>
      </c>
      <c r="K840" s="1">
        <v>45602</v>
      </c>
      <c r="L840" s="25">
        <f ca="1">CLIENTES[[#This Row],[Fecha Vencimiento]]-$J$6</f>
        <v>7</v>
      </c>
      <c r="N840" s="1" t="str">
        <f t="shared" ca="1" si="26"/>
        <v>Al dia</v>
      </c>
      <c r="O840" s="19">
        <v>45541</v>
      </c>
      <c r="P840" s="2"/>
      <c r="Q840" s="2">
        <f t="shared" ref="Q840:Q903" si="27">P840-O840</f>
        <v>-45541</v>
      </c>
    </row>
    <row r="841" spans="3:17" x14ac:dyDescent="0.25">
      <c r="C841" s="13" t="s">
        <v>1998</v>
      </c>
      <c r="D841" s="13" t="s">
        <v>1999</v>
      </c>
      <c r="E841" s="10">
        <v>5492216907373</v>
      </c>
      <c r="F841" t="s">
        <v>35</v>
      </c>
      <c r="G841" t="s">
        <v>2000</v>
      </c>
      <c r="H841" s="14">
        <v>2</v>
      </c>
      <c r="I841" s="10" t="s">
        <v>28</v>
      </c>
      <c r="J841" s="1">
        <v>45545</v>
      </c>
      <c r="K841" s="1">
        <v>45574</v>
      </c>
      <c r="L841" s="25">
        <f ca="1">CLIENTES[[#This Row],[Fecha Vencimiento]]-$J$6</f>
        <v>-21</v>
      </c>
      <c r="N841" s="1" t="str">
        <f t="shared" ca="1" si="26"/>
        <v>Vencido</v>
      </c>
      <c r="O841" s="19"/>
      <c r="P841" s="2"/>
      <c r="Q841" s="2">
        <f t="shared" si="27"/>
        <v>0</v>
      </c>
    </row>
    <row r="842" spans="3:17" x14ac:dyDescent="0.25">
      <c r="C842" s="13" t="s">
        <v>1998</v>
      </c>
      <c r="D842" s="13" t="s">
        <v>2001</v>
      </c>
      <c r="E842" s="10">
        <v>1140274810</v>
      </c>
      <c r="F842" t="s">
        <v>35</v>
      </c>
      <c r="G842" t="s">
        <v>2002</v>
      </c>
      <c r="H842" s="14">
        <v>4</v>
      </c>
      <c r="I842" s="10" t="s">
        <v>28</v>
      </c>
      <c r="J842" s="1" t="s">
        <v>2003</v>
      </c>
      <c r="K842" s="1">
        <v>45625</v>
      </c>
      <c r="L842" s="25">
        <f ca="1">CLIENTES[[#This Row],[Fecha Vencimiento]]-$J$6</f>
        <v>30</v>
      </c>
      <c r="N842" s="1" t="str">
        <f t="shared" ca="1" si="26"/>
        <v>Al dia</v>
      </c>
      <c r="O842" s="19"/>
      <c r="P842" s="2"/>
      <c r="Q842" s="2">
        <f t="shared" si="27"/>
        <v>0</v>
      </c>
    </row>
    <row r="843" spans="3:17" x14ac:dyDescent="0.25">
      <c r="C843" s="13" t="s">
        <v>1998</v>
      </c>
      <c r="D843" s="13" t="s">
        <v>2004</v>
      </c>
      <c r="F843" t="s">
        <v>35</v>
      </c>
      <c r="G843" t="s">
        <v>2005</v>
      </c>
      <c r="I843" s="10" t="s">
        <v>28</v>
      </c>
      <c r="J843" s="1">
        <v>45495</v>
      </c>
      <c r="K843" s="1">
        <v>45527</v>
      </c>
      <c r="L843" s="25">
        <f ca="1">CLIENTES[[#This Row],[Fecha Vencimiento]]-$J$6</f>
        <v>-68</v>
      </c>
      <c r="N843" s="1" t="str">
        <f t="shared" ca="1" si="26"/>
        <v>Vencido</v>
      </c>
      <c r="O843" s="19"/>
      <c r="P843" s="2"/>
      <c r="Q843" s="2">
        <f t="shared" si="27"/>
        <v>0</v>
      </c>
    </row>
    <row r="844" spans="3:17" x14ac:dyDescent="0.25">
      <c r="C844" s="13" t="s">
        <v>2006</v>
      </c>
      <c r="D844" s="13" t="s">
        <v>2007</v>
      </c>
      <c r="E844" s="10">
        <v>1132601345</v>
      </c>
      <c r="F844" t="s">
        <v>35</v>
      </c>
      <c r="G844" t="s">
        <v>2008</v>
      </c>
      <c r="H844" s="14">
        <v>6</v>
      </c>
      <c r="I844" s="10" t="s">
        <v>28</v>
      </c>
      <c r="J844" s="1">
        <v>45587</v>
      </c>
      <c r="K844" s="1">
        <v>45624</v>
      </c>
      <c r="L844" s="25">
        <f ca="1">CLIENTES[[#This Row],[Fecha Vencimiento]]-$J$6</f>
        <v>29</v>
      </c>
      <c r="N844" s="1" t="str">
        <f t="shared" ca="1" si="26"/>
        <v>Al dia</v>
      </c>
      <c r="O844" s="19"/>
      <c r="P844" s="2"/>
      <c r="Q844" s="2">
        <f t="shared" si="27"/>
        <v>0</v>
      </c>
    </row>
    <row r="845" spans="3:17" x14ac:dyDescent="0.25">
      <c r="C845" s="13" t="s">
        <v>2006</v>
      </c>
      <c r="D845" s="13" t="s">
        <v>2009</v>
      </c>
      <c r="F845" t="s">
        <v>35</v>
      </c>
      <c r="G845" t="s">
        <v>2010</v>
      </c>
      <c r="I845" s="10" t="s">
        <v>28</v>
      </c>
      <c r="J845" s="1">
        <v>45517</v>
      </c>
      <c r="K845" s="1">
        <v>45548</v>
      </c>
      <c r="L845" s="25">
        <f ca="1">CLIENTES[[#This Row],[Fecha Vencimiento]]-$J$6</f>
        <v>-47</v>
      </c>
      <c r="N845" s="1" t="str">
        <f t="shared" ca="1" si="26"/>
        <v>Vencido</v>
      </c>
      <c r="O845" s="19"/>
      <c r="P845" s="2"/>
      <c r="Q845" s="2">
        <f t="shared" si="27"/>
        <v>0</v>
      </c>
    </row>
    <row r="846" spans="3:17" x14ac:dyDescent="0.25">
      <c r="C846" s="13" t="s">
        <v>2006</v>
      </c>
      <c r="D846" s="13" t="s">
        <v>2011</v>
      </c>
      <c r="E846" s="10">
        <v>1150519680</v>
      </c>
      <c r="F846" t="s">
        <v>35</v>
      </c>
      <c r="G846" t="s">
        <v>2012</v>
      </c>
      <c r="H846" s="14">
        <v>6</v>
      </c>
      <c r="I846" s="10" t="s">
        <v>28</v>
      </c>
      <c r="J846" s="1">
        <v>45575</v>
      </c>
      <c r="K846" s="1">
        <v>45607</v>
      </c>
      <c r="L846" s="25">
        <f ca="1">CLIENTES[[#This Row],[Fecha Vencimiento]]-$J$6</f>
        <v>12</v>
      </c>
      <c r="N846" s="1" t="str">
        <f t="shared" ca="1" si="26"/>
        <v>Al dia</v>
      </c>
      <c r="O846" s="19"/>
      <c r="P846" s="2"/>
      <c r="Q846" s="2">
        <f t="shared" si="27"/>
        <v>0</v>
      </c>
    </row>
    <row r="847" spans="3:17" x14ac:dyDescent="0.25">
      <c r="C847" s="13" t="s">
        <v>2013</v>
      </c>
      <c r="D847" s="13" t="s">
        <v>1416</v>
      </c>
      <c r="E847" s="10">
        <v>1132888367</v>
      </c>
      <c r="F847" t="s">
        <v>35</v>
      </c>
      <c r="G847" t="s">
        <v>2014</v>
      </c>
      <c r="H847" s="14">
        <v>3</v>
      </c>
      <c r="I847" s="10" t="s">
        <v>28</v>
      </c>
      <c r="J847" s="1">
        <v>45572</v>
      </c>
      <c r="K847" s="1">
        <v>45601</v>
      </c>
      <c r="L847" s="25">
        <f ca="1">CLIENTES[[#This Row],[Fecha Vencimiento]]-$J$6</f>
        <v>6</v>
      </c>
      <c r="N847" s="1" t="str">
        <f t="shared" ca="1" si="26"/>
        <v>Al dia</v>
      </c>
      <c r="O847" s="19"/>
      <c r="P847" s="2"/>
      <c r="Q847" s="2">
        <f t="shared" si="27"/>
        <v>0</v>
      </c>
    </row>
    <row r="848" spans="3:17" x14ac:dyDescent="0.25">
      <c r="C848" s="13" t="s">
        <v>2015</v>
      </c>
      <c r="D848" s="13" t="s">
        <v>2016</v>
      </c>
      <c r="F848" t="s">
        <v>35</v>
      </c>
      <c r="G848" t="s">
        <v>2017</v>
      </c>
      <c r="I848" s="10" t="s">
        <v>28</v>
      </c>
      <c r="J848" s="1">
        <v>45502</v>
      </c>
      <c r="K848" s="1">
        <v>45520</v>
      </c>
      <c r="L848" s="25">
        <f ca="1">CLIENTES[[#This Row],[Fecha Vencimiento]]-$J$6</f>
        <v>-75</v>
      </c>
      <c r="N848" s="1" t="str">
        <f t="shared" ca="1" si="26"/>
        <v>Vencido</v>
      </c>
      <c r="O848" s="19"/>
      <c r="P848" s="2"/>
      <c r="Q848" s="2">
        <f t="shared" si="27"/>
        <v>0</v>
      </c>
    </row>
    <row r="849" spans="3:17" x14ac:dyDescent="0.25">
      <c r="C849" s="13" t="s">
        <v>2018</v>
      </c>
      <c r="D849" s="13" t="s">
        <v>2019</v>
      </c>
      <c r="E849" s="10" t="s">
        <v>2931</v>
      </c>
      <c r="F849" t="s">
        <v>35</v>
      </c>
      <c r="G849" t="s">
        <v>2020</v>
      </c>
      <c r="H849" s="14">
        <v>4</v>
      </c>
      <c r="I849" s="10" t="s">
        <v>28</v>
      </c>
      <c r="J849" s="1">
        <v>45563</v>
      </c>
      <c r="K849" s="1">
        <v>45592</v>
      </c>
      <c r="L849" s="25">
        <f ca="1">CLIENTES[[#This Row],[Fecha Vencimiento]]-$J$6</f>
        <v>-3</v>
      </c>
      <c r="N849" s="1" t="str">
        <f t="shared" ca="1" si="26"/>
        <v>Vencido</v>
      </c>
      <c r="O849" s="19"/>
      <c r="P849" s="2"/>
      <c r="Q849" s="2">
        <f t="shared" si="27"/>
        <v>0</v>
      </c>
    </row>
    <row r="850" spans="3:17" x14ac:dyDescent="0.25">
      <c r="C850" s="13" t="s">
        <v>2021</v>
      </c>
      <c r="D850" s="13" t="s">
        <v>2022</v>
      </c>
      <c r="E850" s="10">
        <v>1125417620</v>
      </c>
      <c r="F850" t="s">
        <v>35</v>
      </c>
      <c r="G850" t="s">
        <v>2023</v>
      </c>
      <c r="H850" s="14">
        <v>4</v>
      </c>
      <c r="I850" s="10" t="s">
        <v>28</v>
      </c>
      <c r="J850" s="1">
        <v>45563</v>
      </c>
      <c r="K850" s="1">
        <v>45592</v>
      </c>
      <c r="L850" s="25">
        <f ca="1">CLIENTES[[#This Row],[Fecha Vencimiento]]-$J$6</f>
        <v>-3</v>
      </c>
      <c r="N850" s="1" t="str">
        <f t="shared" ca="1" si="26"/>
        <v>Vencido</v>
      </c>
      <c r="O850" s="19"/>
      <c r="P850" s="2"/>
      <c r="Q850" s="2">
        <f t="shared" si="27"/>
        <v>0</v>
      </c>
    </row>
    <row r="851" spans="3:17" x14ac:dyDescent="0.25">
      <c r="C851" s="13" t="s">
        <v>2024</v>
      </c>
      <c r="D851" s="13" t="s">
        <v>117</v>
      </c>
      <c r="F851" t="s">
        <v>26</v>
      </c>
      <c r="G851" t="s">
        <v>2025</v>
      </c>
      <c r="H851" s="14">
        <v>1</v>
      </c>
      <c r="I851" s="10" t="s">
        <v>28</v>
      </c>
      <c r="J851" s="1">
        <v>45580</v>
      </c>
      <c r="K851" s="1">
        <v>45611</v>
      </c>
      <c r="L851" s="25">
        <f ca="1">CLIENTES[[#This Row],[Fecha Vencimiento]]-$J$6</f>
        <v>16</v>
      </c>
      <c r="N851" s="1" t="str">
        <f t="shared" ca="1" si="26"/>
        <v>Al dia</v>
      </c>
      <c r="O851" s="19">
        <v>45580</v>
      </c>
      <c r="P851" s="2"/>
      <c r="Q851" s="2">
        <f t="shared" si="27"/>
        <v>-45580</v>
      </c>
    </row>
    <row r="852" spans="3:17" x14ac:dyDescent="0.25">
      <c r="C852" s="13" t="s">
        <v>2026</v>
      </c>
      <c r="D852" s="13" t="s">
        <v>2027</v>
      </c>
      <c r="E852" s="10">
        <v>1139044144</v>
      </c>
      <c r="F852" t="s">
        <v>35</v>
      </c>
      <c r="G852" t="s">
        <v>2028</v>
      </c>
      <c r="H852" s="14">
        <v>6</v>
      </c>
      <c r="I852" s="10" t="s">
        <v>28</v>
      </c>
      <c r="J852" s="1">
        <v>45580</v>
      </c>
      <c r="K852" s="1">
        <v>45607</v>
      </c>
      <c r="L852" s="25">
        <f ca="1">CLIENTES[[#This Row],[Fecha Vencimiento]]-$J$6</f>
        <v>12</v>
      </c>
      <c r="N852" s="1" t="str">
        <f t="shared" ca="1" si="26"/>
        <v>Al dia</v>
      </c>
      <c r="O852" s="19"/>
      <c r="P852" s="2"/>
      <c r="Q852" s="2">
        <f t="shared" si="27"/>
        <v>0</v>
      </c>
    </row>
    <row r="853" spans="3:17" x14ac:dyDescent="0.25">
      <c r="C853" s="13" t="s">
        <v>2029</v>
      </c>
      <c r="D853" s="13" t="s">
        <v>1015</v>
      </c>
      <c r="E853" s="10">
        <v>1136685323</v>
      </c>
      <c r="F853" t="s">
        <v>35</v>
      </c>
      <c r="G853" t="s">
        <v>2030</v>
      </c>
      <c r="H853" s="14">
        <v>4</v>
      </c>
      <c r="I853" s="10" t="s">
        <v>28</v>
      </c>
      <c r="J853" s="1">
        <v>45575</v>
      </c>
      <c r="K853" s="1">
        <v>45608</v>
      </c>
      <c r="L853" s="25">
        <f ca="1">CLIENTES[[#This Row],[Fecha Vencimiento]]-$J$6</f>
        <v>13</v>
      </c>
      <c r="N853" s="1" t="str">
        <f t="shared" ca="1" si="26"/>
        <v>Al dia</v>
      </c>
      <c r="O853" s="19"/>
      <c r="P853" s="2"/>
      <c r="Q853" s="2">
        <f t="shared" si="27"/>
        <v>0</v>
      </c>
    </row>
    <row r="854" spans="3:17" x14ac:dyDescent="0.25">
      <c r="C854" s="13" t="s">
        <v>2031</v>
      </c>
      <c r="D854" s="13" t="s">
        <v>2032</v>
      </c>
      <c r="E854" s="10">
        <v>1166750327</v>
      </c>
      <c r="F854" t="s">
        <v>35</v>
      </c>
      <c r="G854" t="s">
        <v>2033</v>
      </c>
      <c r="H854" s="14">
        <v>4</v>
      </c>
      <c r="I854" s="10" t="s">
        <v>28</v>
      </c>
      <c r="J854" s="1">
        <v>45563</v>
      </c>
      <c r="K854" s="1">
        <v>45584</v>
      </c>
      <c r="L854" s="25">
        <f ca="1">CLIENTES[[#This Row],[Fecha Vencimiento]]-$J$6</f>
        <v>-11</v>
      </c>
      <c r="N854" s="1" t="str">
        <f t="shared" ca="1" si="26"/>
        <v>Vencido</v>
      </c>
      <c r="O854" s="19"/>
      <c r="P854" s="2"/>
      <c r="Q854" s="2">
        <f t="shared" si="27"/>
        <v>0</v>
      </c>
    </row>
    <row r="855" spans="3:17" x14ac:dyDescent="0.25">
      <c r="C855" s="13" t="s">
        <v>2029</v>
      </c>
      <c r="D855" s="13" t="s">
        <v>117</v>
      </c>
      <c r="E855" s="10">
        <v>1159436664</v>
      </c>
      <c r="F855" t="s">
        <v>35</v>
      </c>
      <c r="G855" t="s">
        <v>2034</v>
      </c>
      <c r="H855" s="14">
        <v>5</v>
      </c>
      <c r="I855" s="10" t="s">
        <v>28</v>
      </c>
      <c r="J855" s="1">
        <v>45565</v>
      </c>
      <c r="K855" s="1">
        <v>45599</v>
      </c>
      <c r="L855" s="25">
        <f ca="1">CLIENTES[[#This Row],[Fecha Vencimiento]]-$J$6</f>
        <v>4</v>
      </c>
      <c r="N855" s="1" t="str">
        <f t="shared" ca="1" si="26"/>
        <v>Al dia</v>
      </c>
      <c r="O855" s="19"/>
      <c r="P855" s="2"/>
      <c r="Q855" s="2">
        <f t="shared" si="27"/>
        <v>0</v>
      </c>
    </row>
    <row r="856" spans="3:17" x14ac:dyDescent="0.25">
      <c r="C856" s="13" t="s">
        <v>2029</v>
      </c>
      <c r="D856" s="13" t="s">
        <v>1015</v>
      </c>
      <c r="E856" s="10">
        <v>1136685323</v>
      </c>
      <c r="F856" t="s">
        <v>35</v>
      </c>
      <c r="G856" t="s">
        <v>2035</v>
      </c>
      <c r="H856" s="14">
        <v>3</v>
      </c>
      <c r="I856" s="10" t="s">
        <v>28</v>
      </c>
      <c r="J856" s="1">
        <v>45575</v>
      </c>
      <c r="K856" s="1">
        <v>45608</v>
      </c>
      <c r="L856" s="25">
        <f ca="1">CLIENTES[[#This Row],[Fecha Vencimiento]]-$J$6</f>
        <v>13</v>
      </c>
      <c r="N856" s="1" t="str">
        <f t="shared" ca="1" si="26"/>
        <v>Al dia</v>
      </c>
      <c r="O856" s="19"/>
      <c r="P856" s="2"/>
      <c r="Q856" s="2">
        <f t="shared" si="27"/>
        <v>0</v>
      </c>
    </row>
    <row r="857" spans="3:17" x14ac:dyDescent="0.25">
      <c r="C857" s="13" t="s">
        <v>2029</v>
      </c>
      <c r="D857" s="13" t="s">
        <v>2036</v>
      </c>
      <c r="E857" s="10">
        <v>1132920199</v>
      </c>
      <c r="F857" t="s">
        <v>35</v>
      </c>
      <c r="G857" t="s">
        <v>2037</v>
      </c>
      <c r="H857" s="14">
        <v>1</v>
      </c>
      <c r="I857" s="10" t="s">
        <v>28</v>
      </c>
      <c r="J857" s="1">
        <v>45579</v>
      </c>
      <c r="K857" s="1">
        <v>45610</v>
      </c>
      <c r="L857" s="25">
        <f ca="1">CLIENTES[[#This Row],[Fecha Vencimiento]]-$J$6</f>
        <v>15</v>
      </c>
      <c r="N857" s="1" t="str">
        <f t="shared" ca="1" si="26"/>
        <v>Al dia</v>
      </c>
      <c r="O857" s="19">
        <v>45579</v>
      </c>
      <c r="P857" s="2"/>
      <c r="Q857" s="2">
        <f t="shared" si="27"/>
        <v>-45579</v>
      </c>
    </row>
    <row r="858" spans="3:17" x14ac:dyDescent="0.25">
      <c r="C858" s="13" t="s">
        <v>2038</v>
      </c>
      <c r="D858" s="13" t="s">
        <v>2039</v>
      </c>
      <c r="E858" s="10">
        <v>1135119940</v>
      </c>
      <c r="F858" t="s">
        <v>35</v>
      </c>
      <c r="G858" t="s">
        <v>2040</v>
      </c>
      <c r="H858" s="14">
        <v>6</v>
      </c>
      <c r="I858" s="10" t="s">
        <v>28</v>
      </c>
      <c r="J858" s="1">
        <v>45590</v>
      </c>
      <c r="K858" s="1">
        <v>45624</v>
      </c>
      <c r="L858" s="25">
        <f ca="1">CLIENTES[[#This Row],[Fecha Vencimiento]]-$J$6</f>
        <v>29</v>
      </c>
      <c r="N858" s="1" t="str">
        <f t="shared" ca="1" si="26"/>
        <v>Al dia</v>
      </c>
      <c r="O858" s="19"/>
      <c r="P858" s="2"/>
      <c r="Q858" s="2">
        <f t="shared" si="27"/>
        <v>0</v>
      </c>
    </row>
    <row r="859" spans="3:17" x14ac:dyDescent="0.25">
      <c r="C859" s="13" t="s">
        <v>2041</v>
      </c>
      <c r="D859" s="13" t="s">
        <v>2042</v>
      </c>
      <c r="F859" t="s">
        <v>159</v>
      </c>
      <c r="G859" t="s">
        <v>2043</v>
      </c>
      <c r="H859" s="14">
        <v>2</v>
      </c>
      <c r="I859" s="10" t="s">
        <v>75</v>
      </c>
      <c r="J859" s="1">
        <v>45444</v>
      </c>
      <c r="K859" s="1">
        <v>45472</v>
      </c>
      <c r="L859" s="25">
        <f ca="1">CLIENTES[[#This Row],[Fecha Vencimiento]]-$J$6</f>
        <v>-123</v>
      </c>
      <c r="N859" s="1" t="str">
        <f t="shared" ca="1" si="26"/>
        <v>Vencido</v>
      </c>
      <c r="O859" s="19"/>
      <c r="P859" s="2"/>
      <c r="Q859" s="2">
        <f t="shared" si="27"/>
        <v>0</v>
      </c>
    </row>
    <row r="860" spans="3:17" x14ac:dyDescent="0.25">
      <c r="C860" s="13" t="s">
        <v>2044</v>
      </c>
      <c r="D860" s="13" t="s">
        <v>2045</v>
      </c>
      <c r="E860" s="10">
        <v>1158045207</v>
      </c>
      <c r="F860" t="s">
        <v>35</v>
      </c>
      <c r="G860" t="s">
        <v>2046</v>
      </c>
      <c r="H860" s="14">
        <v>4</v>
      </c>
      <c r="I860" s="10" t="s">
        <v>28</v>
      </c>
      <c r="J860" s="1">
        <v>45575</v>
      </c>
      <c r="K860" s="1">
        <v>45606</v>
      </c>
      <c r="L860" s="25">
        <f ca="1">CLIENTES[[#This Row],[Fecha Vencimiento]]-$J$6</f>
        <v>11</v>
      </c>
      <c r="N860" s="1" t="str">
        <f t="shared" ca="1" si="26"/>
        <v>Al dia</v>
      </c>
      <c r="O860" s="19"/>
      <c r="P860" s="2"/>
      <c r="Q860" s="2">
        <f t="shared" si="27"/>
        <v>0</v>
      </c>
    </row>
    <row r="861" spans="3:17" x14ac:dyDescent="0.25">
      <c r="C861" s="13" t="s">
        <v>2044</v>
      </c>
      <c r="D861" s="13" t="s">
        <v>2047</v>
      </c>
      <c r="E861" s="10">
        <v>1153011730</v>
      </c>
      <c r="F861" t="s">
        <v>35</v>
      </c>
      <c r="G861" t="s">
        <v>2048</v>
      </c>
      <c r="H861" s="14">
        <v>6</v>
      </c>
      <c r="I861" s="10" t="s">
        <v>28</v>
      </c>
      <c r="J861" s="1">
        <v>45593</v>
      </c>
      <c r="K861" s="1">
        <v>45622</v>
      </c>
      <c r="L861" s="25">
        <f ca="1">CLIENTES[[#This Row],[Fecha Vencimiento]]-$J$6</f>
        <v>27</v>
      </c>
      <c r="N861" s="1" t="str">
        <f t="shared" ca="1" si="26"/>
        <v>Al dia</v>
      </c>
      <c r="O861" s="19"/>
      <c r="P861" s="2"/>
      <c r="Q861" s="2">
        <f t="shared" si="27"/>
        <v>0</v>
      </c>
    </row>
    <row r="862" spans="3:17" x14ac:dyDescent="0.25">
      <c r="C862" s="13" t="s">
        <v>2044</v>
      </c>
      <c r="D862" s="13" t="s">
        <v>141</v>
      </c>
      <c r="E862" s="10">
        <v>1132403543</v>
      </c>
      <c r="F862" t="s">
        <v>35</v>
      </c>
      <c r="G862" t="s">
        <v>2049</v>
      </c>
      <c r="H862" s="14">
        <v>6</v>
      </c>
      <c r="I862" s="10" t="s">
        <v>28</v>
      </c>
      <c r="J862" s="1">
        <v>45565</v>
      </c>
      <c r="K862" s="1">
        <v>45597</v>
      </c>
      <c r="L862" s="25">
        <f ca="1">CLIENTES[[#This Row],[Fecha Vencimiento]]-$J$6</f>
        <v>2</v>
      </c>
      <c r="N862" s="1" t="str">
        <f t="shared" ca="1" si="26"/>
        <v>Por vencer</v>
      </c>
      <c r="O862" s="19"/>
      <c r="P862" s="2"/>
      <c r="Q862" s="2">
        <f t="shared" si="27"/>
        <v>0</v>
      </c>
    </row>
    <row r="863" spans="3:17" x14ac:dyDescent="0.25">
      <c r="C863" s="13" t="s">
        <v>2044</v>
      </c>
      <c r="D863" s="13" t="s">
        <v>2047</v>
      </c>
      <c r="F863" t="s">
        <v>35</v>
      </c>
      <c r="G863" t="s">
        <v>2050</v>
      </c>
      <c r="I863" s="10" t="s">
        <v>28</v>
      </c>
      <c r="J863" s="1">
        <v>45476</v>
      </c>
      <c r="K863" s="1">
        <v>45497</v>
      </c>
      <c r="L863" s="25">
        <f ca="1">CLIENTES[[#This Row],[Fecha Vencimiento]]-$J$6</f>
        <v>-98</v>
      </c>
      <c r="N863" s="1" t="str">
        <f t="shared" ca="1" si="26"/>
        <v>Vencido</v>
      </c>
      <c r="O863" s="19"/>
      <c r="P863" s="2"/>
      <c r="Q863" s="2">
        <f t="shared" si="27"/>
        <v>0</v>
      </c>
    </row>
    <row r="864" spans="3:17" x14ac:dyDescent="0.25">
      <c r="C864" s="13" t="s">
        <v>2044</v>
      </c>
      <c r="D864" s="13" t="s">
        <v>2051</v>
      </c>
      <c r="E864" s="10" t="s">
        <v>2931</v>
      </c>
      <c r="F864" t="s">
        <v>35</v>
      </c>
      <c r="G864" t="s">
        <v>2052</v>
      </c>
      <c r="H864" s="14">
        <v>2</v>
      </c>
      <c r="I864" s="10" t="s">
        <v>28</v>
      </c>
      <c r="J864" s="1">
        <v>45587</v>
      </c>
      <c r="K864" s="1">
        <v>45624</v>
      </c>
      <c r="L864" s="25">
        <f ca="1">CLIENTES[[#This Row],[Fecha Vencimiento]]-$J$6</f>
        <v>29</v>
      </c>
      <c r="N864" s="1" t="str">
        <f t="shared" ca="1" si="26"/>
        <v>Al dia</v>
      </c>
      <c r="O864" s="19"/>
      <c r="P864" s="2"/>
      <c r="Q864" s="2">
        <f t="shared" si="27"/>
        <v>0</v>
      </c>
    </row>
    <row r="865" spans="3:17" x14ac:dyDescent="0.25">
      <c r="C865" s="13" t="s">
        <v>2053</v>
      </c>
      <c r="D865" s="13" t="s">
        <v>2054</v>
      </c>
      <c r="E865" s="10" t="s">
        <v>2055</v>
      </c>
      <c r="F865" t="s">
        <v>35</v>
      </c>
      <c r="G865" t="s">
        <v>2056</v>
      </c>
      <c r="H865" s="14">
        <v>4</v>
      </c>
      <c r="I865" s="10" t="s">
        <v>28</v>
      </c>
      <c r="J865" s="1">
        <v>45580</v>
      </c>
      <c r="K865" s="1">
        <v>45613</v>
      </c>
      <c r="L865" s="25">
        <f ca="1">CLIENTES[[#This Row],[Fecha Vencimiento]]-$J$6</f>
        <v>18</v>
      </c>
      <c r="N865" s="1" t="str">
        <f t="shared" ca="1" si="26"/>
        <v>Al dia</v>
      </c>
      <c r="O865" s="19"/>
      <c r="P865" s="2"/>
      <c r="Q865" s="2">
        <f t="shared" si="27"/>
        <v>0</v>
      </c>
    </row>
    <row r="866" spans="3:17" x14ac:dyDescent="0.25">
      <c r="C866" s="13" t="s">
        <v>2057</v>
      </c>
      <c r="D866" s="13" t="s">
        <v>1921</v>
      </c>
      <c r="E866" s="10">
        <v>1168933442</v>
      </c>
      <c r="F866" t="s">
        <v>26</v>
      </c>
      <c r="G866" t="s">
        <v>2058</v>
      </c>
      <c r="H866" s="14">
        <v>2</v>
      </c>
      <c r="I866" s="10" t="s">
        <v>28</v>
      </c>
      <c r="J866" s="1">
        <v>45569</v>
      </c>
      <c r="K866" s="1">
        <v>45602</v>
      </c>
      <c r="L866" s="25">
        <f ca="1">CLIENTES[[#This Row],[Fecha Vencimiento]]-$J$6</f>
        <v>7</v>
      </c>
      <c r="N866" s="1" t="str">
        <f t="shared" ca="1" si="26"/>
        <v>Al dia</v>
      </c>
      <c r="O866" s="19">
        <v>45541</v>
      </c>
      <c r="P866" s="2"/>
      <c r="Q866" s="2">
        <f t="shared" si="27"/>
        <v>-45541</v>
      </c>
    </row>
    <row r="867" spans="3:17" x14ac:dyDescent="0.25">
      <c r="C867" s="13" t="s">
        <v>2059</v>
      </c>
      <c r="D867" s="13" t="s">
        <v>2060</v>
      </c>
      <c r="F867" t="s">
        <v>35</v>
      </c>
      <c r="G867" t="s">
        <v>2061</v>
      </c>
      <c r="H867" s="14">
        <v>2</v>
      </c>
      <c r="I867" s="10" t="s">
        <v>28</v>
      </c>
      <c r="J867" s="1">
        <v>45569</v>
      </c>
      <c r="K867" s="1">
        <v>45600</v>
      </c>
      <c r="L867" s="25">
        <f ca="1">CLIENTES[[#This Row],[Fecha Vencimiento]]-$J$6</f>
        <v>5</v>
      </c>
      <c r="N867" s="1" t="str">
        <f t="shared" ca="1" si="26"/>
        <v>Al dia</v>
      </c>
      <c r="O867" s="19">
        <v>45539</v>
      </c>
      <c r="P867" s="2"/>
      <c r="Q867" s="2">
        <f t="shared" si="27"/>
        <v>-45539</v>
      </c>
    </row>
    <row r="868" spans="3:17" x14ac:dyDescent="0.25">
      <c r="C868" s="13" t="s">
        <v>2059</v>
      </c>
      <c r="D868" s="13" t="s">
        <v>2060</v>
      </c>
      <c r="E868" s="10">
        <v>1151508295</v>
      </c>
      <c r="F868" t="s">
        <v>35</v>
      </c>
      <c r="G868" t="s">
        <v>2062</v>
      </c>
      <c r="H868" s="14">
        <v>2</v>
      </c>
      <c r="I868" s="10" t="s">
        <v>28</v>
      </c>
      <c r="J868" s="1">
        <v>45583</v>
      </c>
      <c r="K868" s="1">
        <v>45617</v>
      </c>
      <c r="L868" s="25">
        <f ca="1">CLIENTES[[#This Row],[Fecha Vencimiento]]-$J$6</f>
        <v>22</v>
      </c>
      <c r="N868" s="1" t="str">
        <f t="shared" ca="1" si="26"/>
        <v>Al dia</v>
      </c>
      <c r="O868" s="19"/>
      <c r="P868" s="2"/>
      <c r="Q868" s="2">
        <f t="shared" si="27"/>
        <v>0</v>
      </c>
    </row>
    <row r="869" spans="3:17" x14ac:dyDescent="0.25">
      <c r="C869" s="13" t="s">
        <v>2063</v>
      </c>
      <c r="D869" s="13" t="s">
        <v>2064</v>
      </c>
      <c r="E869" s="10">
        <v>1125856391</v>
      </c>
      <c r="F869" t="s">
        <v>35</v>
      </c>
      <c r="G869" t="s">
        <v>2065</v>
      </c>
      <c r="H869" s="14">
        <v>7</v>
      </c>
      <c r="I869" s="10" t="s">
        <v>28</v>
      </c>
      <c r="J869" s="1">
        <v>45570</v>
      </c>
      <c r="K869" s="1">
        <v>45628</v>
      </c>
      <c r="L869" s="25">
        <f ca="1">CLIENTES[[#This Row],[Fecha Vencimiento]]-$J$6</f>
        <v>33</v>
      </c>
      <c r="N869" s="1" t="str">
        <f t="shared" ca="1" si="26"/>
        <v>Al dia</v>
      </c>
      <c r="O869" s="19"/>
      <c r="P869" s="2"/>
      <c r="Q869" s="2">
        <f t="shared" si="27"/>
        <v>0</v>
      </c>
    </row>
    <row r="870" spans="3:17" x14ac:dyDescent="0.25">
      <c r="C870" s="13" t="s">
        <v>2063</v>
      </c>
      <c r="D870" s="13" t="s">
        <v>51</v>
      </c>
      <c r="E870" s="10">
        <v>1135584195</v>
      </c>
      <c r="F870" t="s">
        <v>35</v>
      </c>
      <c r="G870" t="s">
        <v>2066</v>
      </c>
      <c r="H870" s="14">
        <v>5</v>
      </c>
      <c r="I870" s="10" t="s">
        <v>28</v>
      </c>
      <c r="J870" s="1">
        <v>45568</v>
      </c>
      <c r="K870" s="1">
        <v>45598</v>
      </c>
      <c r="L870" s="25">
        <f ca="1">CLIENTES[[#This Row],[Fecha Vencimiento]]-$J$6</f>
        <v>3</v>
      </c>
      <c r="N870" s="1" t="str">
        <f t="shared" ca="1" si="26"/>
        <v>Por vencer</v>
      </c>
      <c r="O870" s="19"/>
      <c r="P870" s="2"/>
      <c r="Q870" s="2">
        <f t="shared" si="27"/>
        <v>0</v>
      </c>
    </row>
    <row r="871" spans="3:17" x14ac:dyDescent="0.25">
      <c r="C871" s="13" t="s">
        <v>2067</v>
      </c>
      <c r="D871" s="13" t="s">
        <v>2068</v>
      </c>
      <c r="E871" s="10">
        <v>1168494618</v>
      </c>
      <c r="F871" t="s">
        <v>35</v>
      </c>
      <c r="G871" t="s">
        <v>2069</v>
      </c>
      <c r="H871" s="14">
        <v>1</v>
      </c>
      <c r="I871" s="10" t="s">
        <v>28</v>
      </c>
      <c r="J871" s="1">
        <v>45569</v>
      </c>
      <c r="K871" s="1">
        <v>45600</v>
      </c>
      <c r="L871" s="25">
        <f ca="1">CLIENTES[[#This Row],[Fecha Vencimiento]]-$J$6</f>
        <v>5</v>
      </c>
      <c r="N871" s="1" t="str">
        <f t="shared" ca="1" si="26"/>
        <v>Al dia</v>
      </c>
      <c r="O871" s="19"/>
      <c r="P871" s="2"/>
      <c r="Q871" s="2">
        <f t="shared" si="27"/>
        <v>0</v>
      </c>
    </row>
    <row r="872" spans="3:17" x14ac:dyDescent="0.25">
      <c r="C872" s="13" t="s">
        <v>2070</v>
      </c>
      <c r="D872" s="13" t="s">
        <v>2071</v>
      </c>
      <c r="E872" s="10">
        <v>1128696383</v>
      </c>
      <c r="F872" t="s">
        <v>35</v>
      </c>
      <c r="G872" t="s">
        <v>2072</v>
      </c>
      <c r="H872" s="14">
        <v>2</v>
      </c>
      <c r="I872" s="10" t="s">
        <v>28</v>
      </c>
      <c r="J872" s="1">
        <v>45545</v>
      </c>
      <c r="K872" s="1">
        <v>45575</v>
      </c>
      <c r="L872" s="25">
        <f ca="1">CLIENTES[[#This Row],[Fecha Vencimiento]]-$J$6</f>
        <v>-20</v>
      </c>
      <c r="N872" s="1" t="str">
        <f t="shared" ca="1" si="26"/>
        <v>Vencido</v>
      </c>
      <c r="O872" s="19"/>
      <c r="P872" s="2"/>
      <c r="Q872" s="2">
        <f t="shared" si="27"/>
        <v>0</v>
      </c>
    </row>
    <row r="873" spans="3:17" x14ac:dyDescent="0.25">
      <c r="C873" s="13" t="s">
        <v>2070</v>
      </c>
      <c r="D873" s="13" t="s">
        <v>2071</v>
      </c>
      <c r="E873" s="10">
        <v>1128696383</v>
      </c>
      <c r="F873" t="s">
        <v>35</v>
      </c>
      <c r="G873" t="s">
        <v>2073</v>
      </c>
      <c r="H873" s="14">
        <v>1</v>
      </c>
      <c r="I873" s="10" t="s">
        <v>28</v>
      </c>
      <c r="J873" s="1">
        <v>45567</v>
      </c>
      <c r="K873" s="1">
        <v>45598</v>
      </c>
      <c r="L873" s="25">
        <f ca="1">CLIENTES[[#This Row],[Fecha Vencimiento]]-$J$6</f>
        <v>3</v>
      </c>
      <c r="N873" s="1" t="str">
        <f t="shared" ca="1" si="26"/>
        <v>Por vencer</v>
      </c>
      <c r="O873" s="19"/>
      <c r="P873" s="2"/>
      <c r="Q873" s="2">
        <f t="shared" si="27"/>
        <v>0</v>
      </c>
    </row>
    <row r="874" spans="3:17" x14ac:dyDescent="0.25">
      <c r="C874" s="13" t="s">
        <v>2070</v>
      </c>
      <c r="D874" s="13" t="s">
        <v>2074</v>
      </c>
      <c r="F874" t="s">
        <v>35</v>
      </c>
      <c r="G874" t="s">
        <v>2075</v>
      </c>
      <c r="H874" s="14">
        <v>1</v>
      </c>
      <c r="I874" s="10" t="s">
        <v>28</v>
      </c>
      <c r="J874" s="1">
        <v>45574</v>
      </c>
      <c r="K874" s="1">
        <v>45605</v>
      </c>
      <c r="L874" s="25">
        <f ca="1">CLIENTES[[#This Row],[Fecha Vencimiento]]-$J$6</f>
        <v>10</v>
      </c>
      <c r="N874" s="1" t="str">
        <f t="shared" ca="1" si="26"/>
        <v>Al dia</v>
      </c>
      <c r="O874" s="19">
        <v>45605</v>
      </c>
      <c r="P874" s="2"/>
      <c r="Q874" s="2">
        <f t="shared" si="27"/>
        <v>-45605</v>
      </c>
    </row>
    <row r="875" spans="3:17" x14ac:dyDescent="0.25">
      <c r="C875" s="13" t="s">
        <v>2076</v>
      </c>
      <c r="D875" s="13" t="s">
        <v>2077</v>
      </c>
      <c r="E875" s="10">
        <v>1125566107</v>
      </c>
      <c r="F875" t="s">
        <v>35</v>
      </c>
      <c r="G875" t="s">
        <v>2078</v>
      </c>
      <c r="H875" s="14">
        <v>4</v>
      </c>
      <c r="I875" s="10" t="s">
        <v>28</v>
      </c>
      <c r="J875" s="1">
        <v>45565</v>
      </c>
      <c r="K875" s="1">
        <v>45593</v>
      </c>
      <c r="L875" s="25">
        <f ca="1">CLIENTES[[#This Row],[Fecha Vencimiento]]-$J$6</f>
        <v>-2</v>
      </c>
      <c r="N875" s="1" t="str">
        <f t="shared" ca="1" si="26"/>
        <v>Vencido</v>
      </c>
      <c r="O875" s="19"/>
      <c r="P875" s="2"/>
      <c r="Q875" s="2">
        <f t="shared" si="27"/>
        <v>0</v>
      </c>
    </row>
    <row r="876" spans="3:17" x14ac:dyDescent="0.25">
      <c r="C876" s="13" t="s">
        <v>2076</v>
      </c>
      <c r="D876" s="13" t="s">
        <v>2079</v>
      </c>
      <c r="E876" s="10">
        <v>1123545328</v>
      </c>
      <c r="F876" t="s">
        <v>35</v>
      </c>
      <c r="G876" t="s">
        <v>2080</v>
      </c>
      <c r="H876" s="14">
        <v>1</v>
      </c>
      <c r="I876" s="10" t="s">
        <v>28</v>
      </c>
      <c r="J876" s="1">
        <v>45583</v>
      </c>
      <c r="K876" s="1">
        <v>45614</v>
      </c>
      <c r="L876" s="25">
        <f ca="1">CLIENTES[[#This Row],[Fecha Vencimiento]]-$J$6</f>
        <v>19</v>
      </c>
      <c r="N876" s="1" t="str">
        <f t="shared" ca="1" si="26"/>
        <v>Al dia</v>
      </c>
      <c r="O876" s="19"/>
      <c r="P876" s="2"/>
      <c r="Q876" s="2">
        <f t="shared" si="27"/>
        <v>0</v>
      </c>
    </row>
    <row r="877" spans="3:17" x14ac:dyDescent="0.25">
      <c r="C877" s="13" t="s">
        <v>2076</v>
      </c>
      <c r="D877" s="13" t="s">
        <v>2081</v>
      </c>
      <c r="E877" s="10">
        <v>1133057350</v>
      </c>
      <c r="F877" t="s">
        <v>35</v>
      </c>
      <c r="G877" t="s">
        <v>2082</v>
      </c>
      <c r="H877" s="14">
        <v>5</v>
      </c>
      <c r="I877" s="10" t="s">
        <v>28</v>
      </c>
      <c r="J877" s="1">
        <v>45587</v>
      </c>
      <c r="K877" s="1">
        <v>45618</v>
      </c>
      <c r="L877" s="25">
        <f ca="1">CLIENTES[[#This Row],[Fecha Vencimiento]]-$J$6</f>
        <v>23</v>
      </c>
      <c r="N877" s="1" t="str">
        <f t="shared" ca="1" si="26"/>
        <v>Al dia</v>
      </c>
      <c r="O877" s="19"/>
      <c r="P877" s="2"/>
      <c r="Q877" s="2">
        <f t="shared" si="27"/>
        <v>0</v>
      </c>
    </row>
    <row r="878" spans="3:17" x14ac:dyDescent="0.25">
      <c r="C878" s="13" t="s">
        <v>2076</v>
      </c>
      <c r="D878" s="13" t="s">
        <v>2079</v>
      </c>
      <c r="E878" s="10">
        <v>1169733145</v>
      </c>
      <c r="F878" t="s">
        <v>35</v>
      </c>
      <c r="G878" t="s">
        <v>2083</v>
      </c>
      <c r="H878" s="14">
        <v>5</v>
      </c>
      <c r="I878" s="10" t="s">
        <v>28</v>
      </c>
      <c r="J878" s="1">
        <v>45570</v>
      </c>
      <c r="K878" s="1">
        <v>45602</v>
      </c>
      <c r="L878" s="25">
        <f ca="1">CLIENTES[[#This Row],[Fecha Vencimiento]]-$J$6</f>
        <v>7</v>
      </c>
      <c r="N878" s="1" t="str">
        <f t="shared" ca="1" si="26"/>
        <v>Al dia</v>
      </c>
      <c r="O878" s="19"/>
      <c r="P878" s="2"/>
      <c r="Q878" s="2">
        <f t="shared" si="27"/>
        <v>0</v>
      </c>
    </row>
    <row r="879" spans="3:17" x14ac:dyDescent="0.25">
      <c r="C879" s="13" t="s">
        <v>2076</v>
      </c>
      <c r="D879" s="13" t="s">
        <v>1340</v>
      </c>
      <c r="E879" s="10" t="s">
        <v>2931</v>
      </c>
      <c r="F879" t="s">
        <v>35</v>
      </c>
      <c r="G879" t="s">
        <v>2084</v>
      </c>
      <c r="H879" s="14">
        <v>6</v>
      </c>
      <c r="I879" s="10" t="s">
        <v>28</v>
      </c>
      <c r="J879" s="1">
        <v>45583</v>
      </c>
      <c r="K879" s="1">
        <v>45608</v>
      </c>
      <c r="L879" s="25">
        <f ca="1">CLIENTES[[#This Row],[Fecha Vencimiento]]-$J$6</f>
        <v>13</v>
      </c>
      <c r="N879" s="1" t="str">
        <f t="shared" ca="1" si="26"/>
        <v>Al dia</v>
      </c>
      <c r="O879" s="19"/>
      <c r="P879" s="2"/>
      <c r="Q879" s="2">
        <f t="shared" si="27"/>
        <v>0</v>
      </c>
    </row>
    <row r="880" spans="3:17" x14ac:dyDescent="0.25">
      <c r="C880" s="13" t="s">
        <v>2076</v>
      </c>
      <c r="D880" s="13" t="s">
        <v>1020</v>
      </c>
      <c r="F880" t="s">
        <v>35</v>
      </c>
      <c r="G880" t="s">
        <v>2085</v>
      </c>
      <c r="I880" s="10" t="s">
        <v>28</v>
      </c>
      <c r="J880" s="1">
        <v>45520</v>
      </c>
      <c r="K880" s="1">
        <v>45551</v>
      </c>
      <c r="L880" s="25">
        <f ca="1">CLIENTES[[#This Row],[Fecha Vencimiento]]-$J$6</f>
        <v>-44</v>
      </c>
      <c r="N880" s="1" t="str">
        <f t="shared" ca="1" si="26"/>
        <v>Vencido</v>
      </c>
      <c r="O880" s="19"/>
      <c r="P880" s="2"/>
      <c r="Q880" s="2">
        <f t="shared" si="27"/>
        <v>0</v>
      </c>
    </row>
    <row r="881" spans="3:17" x14ac:dyDescent="0.25">
      <c r="C881" s="13" t="s">
        <v>2076</v>
      </c>
      <c r="D881" s="13" t="s">
        <v>2086</v>
      </c>
      <c r="F881" t="s">
        <v>35</v>
      </c>
      <c r="G881" t="s">
        <v>2087</v>
      </c>
      <c r="H881" s="14">
        <v>2</v>
      </c>
      <c r="I881" s="10" t="s">
        <v>28</v>
      </c>
      <c r="J881" s="1">
        <v>45569</v>
      </c>
      <c r="K881" s="1">
        <v>45601</v>
      </c>
      <c r="L881" s="25">
        <f ca="1">CLIENTES[[#This Row],[Fecha Vencimiento]]-$J$6</f>
        <v>6</v>
      </c>
      <c r="N881" s="1" t="str">
        <f t="shared" ca="1" si="26"/>
        <v>Al dia</v>
      </c>
      <c r="O881" s="19">
        <v>45539</v>
      </c>
      <c r="P881" s="2"/>
      <c r="Q881" s="2">
        <f t="shared" si="27"/>
        <v>-45539</v>
      </c>
    </row>
    <row r="882" spans="3:17" x14ac:dyDescent="0.25">
      <c r="C882" s="13" t="s">
        <v>2076</v>
      </c>
      <c r="D882" s="13" t="s">
        <v>117</v>
      </c>
      <c r="F882" t="s">
        <v>232</v>
      </c>
      <c r="G882" t="s">
        <v>2088</v>
      </c>
      <c r="H882" s="14">
        <v>4</v>
      </c>
      <c r="I882" s="10" t="s">
        <v>183</v>
      </c>
      <c r="J882" s="1">
        <v>45570</v>
      </c>
      <c r="K882" s="1">
        <v>45609</v>
      </c>
      <c r="L882" s="25">
        <f ca="1">CLIENTES[[#This Row],[Fecha Vencimiento]]-$J$6</f>
        <v>14</v>
      </c>
      <c r="N882" s="1" t="str">
        <f t="shared" ca="1" si="26"/>
        <v>Al dia</v>
      </c>
      <c r="O882" s="19"/>
      <c r="P882" s="2"/>
      <c r="Q882" s="2">
        <f t="shared" si="27"/>
        <v>0</v>
      </c>
    </row>
    <row r="883" spans="3:17" x14ac:dyDescent="0.25">
      <c r="C883" s="13" t="s">
        <v>2089</v>
      </c>
      <c r="D883" s="13" t="s">
        <v>2090</v>
      </c>
      <c r="F883" t="s">
        <v>35</v>
      </c>
      <c r="G883" t="s">
        <v>2091</v>
      </c>
      <c r="H883" s="14">
        <v>4</v>
      </c>
      <c r="I883" s="10" t="s">
        <v>28</v>
      </c>
      <c r="J883" s="1">
        <v>45581</v>
      </c>
      <c r="K883" s="1">
        <v>45604</v>
      </c>
      <c r="L883" s="25">
        <f ca="1">CLIENTES[[#This Row],[Fecha Vencimiento]]-$J$6</f>
        <v>9</v>
      </c>
      <c r="N883" s="1" t="str">
        <f t="shared" ref="N883:N946" ca="1" si="28">IF(L883&lt;0,"Vencido",IF(L883=0,"Vence hoy",IF(L883&lt;4,"Por vencer","Al dia")))</f>
        <v>Al dia</v>
      </c>
      <c r="O883" s="19"/>
      <c r="P883" s="2"/>
      <c r="Q883" s="2">
        <f t="shared" si="27"/>
        <v>0</v>
      </c>
    </row>
    <row r="884" spans="3:17" x14ac:dyDescent="0.25">
      <c r="C884" s="13" t="s">
        <v>2092</v>
      </c>
      <c r="D884" s="13" t="s">
        <v>2093</v>
      </c>
      <c r="E884" s="10">
        <v>1123352814</v>
      </c>
      <c r="F884" t="s">
        <v>35</v>
      </c>
      <c r="G884" t="s">
        <v>2094</v>
      </c>
      <c r="H884" s="14">
        <v>3</v>
      </c>
      <c r="I884" s="10" t="s">
        <v>28</v>
      </c>
      <c r="J884" s="1">
        <v>45577</v>
      </c>
      <c r="K884" s="1">
        <v>45606</v>
      </c>
      <c r="L884" s="25">
        <f ca="1">CLIENTES[[#This Row],[Fecha Vencimiento]]-$J$6</f>
        <v>11</v>
      </c>
      <c r="N884" s="1" t="str">
        <f t="shared" ca="1" si="28"/>
        <v>Al dia</v>
      </c>
      <c r="O884" s="19"/>
      <c r="P884" s="2"/>
      <c r="Q884" s="2">
        <f t="shared" si="27"/>
        <v>0</v>
      </c>
    </row>
    <row r="885" spans="3:17" x14ac:dyDescent="0.25">
      <c r="C885" s="13" t="s">
        <v>2095</v>
      </c>
      <c r="D885" s="13" t="s">
        <v>1758</v>
      </c>
      <c r="F885" t="s">
        <v>35</v>
      </c>
      <c r="G885" t="s">
        <v>2096</v>
      </c>
      <c r="H885" s="14">
        <v>5</v>
      </c>
      <c r="I885" s="10" t="s">
        <v>28</v>
      </c>
      <c r="J885" s="1">
        <v>45580</v>
      </c>
      <c r="K885" s="1">
        <v>45604</v>
      </c>
      <c r="L885" s="25">
        <f ca="1">CLIENTES[[#This Row],[Fecha Vencimiento]]-$J$6</f>
        <v>9</v>
      </c>
      <c r="N885" s="1" t="str">
        <f t="shared" ca="1" si="28"/>
        <v>Al dia</v>
      </c>
      <c r="O885" s="19"/>
      <c r="P885" s="2"/>
      <c r="Q885" s="2">
        <f t="shared" si="27"/>
        <v>0</v>
      </c>
    </row>
    <row r="886" spans="3:17" x14ac:dyDescent="0.25">
      <c r="C886" s="13" t="s">
        <v>2095</v>
      </c>
      <c r="D886" s="13" t="s">
        <v>2097</v>
      </c>
      <c r="E886" s="10">
        <v>1141791767</v>
      </c>
      <c r="F886" t="s">
        <v>35</v>
      </c>
      <c r="G886" t="s">
        <v>2098</v>
      </c>
      <c r="H886" s="14">
        <v>4</v>
      </c>
      <c r="I886" s="10" t="s">
        <v>28</v>
      </c>
      <c r="J886" s="1">
        <v>45572</v>
      </c>
      <c r="K886" s="1">
        <v>45603</v>
      </c>
      <c r="L886" s="25">
        <f ca="1">CLIENTES[[#This Row],[Fecha Vencimiento]]-$J$6</f>
        <v>8</v>
      </c>
      <c r="N886" s="1" t="str">
        <f t="shared" ca="1" si="28"/>
        <v>Al dia</v>
      </c>
      <c r="O886" s="19"/>
      <c r="P886" s="2"/>
      <c r="Q886" s="2">
        <f t="shared" si="27"/>
        <v>0</v>
      </c>
    </row>
    <row r="887" spans="3:17" x14ac:dyDescent="0.25">
      <c r="C887" s="13" t="s">
        <v>2099</v>
      </c>
      <c r="D887" s="13" t="s">
        <v>2100</v>
      </c>
      <c r="E887" s="10">
        <v>1121903942</v>
      </c>
      <c r="F887" t="s">
        <v>35</v>
      </c>
      <c r="G887" t="s">
        <v>2101</v>
      </c>
      <c r="H887" s="14">
        <v>2</v>
      </c>
      <c r="I887" s="10" t="s">
        <v>28</v>
      </c>
      <c r="J887" s="1">
        <v>45580</v>
      </c>
      <c r="K887" s="1">
        <v>45609</v>
      </c>
      <c r="L887" s="25">
        <f ca="1">CLIENTES[[#This Row],[Fecha Vencimiento]]-$J$6</f>
        <v>14</v>
      </c>
      <c r="N887" s="1" t="str">
        <f t="shared" ca="1" si="28"/>
        <v>Al dia</v>
      </c>
      <c r="O887" s="19">
        <v>45548</v>
      </c>
      <c r="P887" s="2"/>
      <c r="Q887" s="2">
        <f t="shared" si="27"/>
        <v>-45548</v>
      </c>
    </row>
    <row r="888" spans="3:17" x14ac:dyDescent="0.25">
      <c r="C888" s="13" t="s">
        <v>2102</v>
      </c>
      <c r="D888" s="13" t="s">
        <v>2103</v>
      </c>
      <c r="F888" t="s">
        <v>35</v>
      </c>
      <c r="G888" t="s">
        <v>2104</v>
      </c>
      <c r="I888" s="10" t="s">
        <v>28</v>
      </c>
      <c r="J888" s="1">
        <v>45478</v>
      </c>
      <c r="K888" s="1">
        <v>45509</v>
      </c>
      <c r="L888" s="25">
        <f ca="1">CLIENTES[[#This Row],[Fecha Vencimiento]]-$J$6</f>
        <v>-86</v>
      </c>
      <c r="N888" s="1" t="str">
        <f t="shared" ca="1" si="28"/>
        <v>Vencido</v>
      </c>
      <c r="O888" s="19"/>
      <c r="P888" s="2"/>
      <c r="Q888" s="2">
        <f t="shared" si="27"/>
        <v>0</v>
      </c>
    </row>
    <row r="889" spans="3:17" x14ac:dyDescent="0.25">
      <c r="C889" s="13" t="s">
        <v>2105</v>
      </c>
      <c r="D889" s="13" t="s">
        <v>2106</v>
      </c>
      <c r="E889" s="10">
        <v>1158238632</v>
      </c>
      <c r="F889" t="s">
        <v>26</v>
      </c>
      <c r="G889" t="s">
        <v>2107</v>
      </c>
      <c r="H889" s="14">
        <v>2</v>
      </c>
      <c r="I889" s="10" t="s">
        <v>28</v>
      </c>
      <c r="J889" s="1">
        <v>45575</v>
      </c>
      <c r="K889" s="1">
        <v>45606</v>
      </c>
      <c r="L889" s="25">
        <f ca="1">CLIENTES[[#This Row],[Fecha Vencimiento]]-$J$6</f>
        <v>11</v>
      </c>
      <c r="N889" s="1" t="str">
        <f t="shared" ca="1" si="28"/>
        <v>Al dia</v>
      </c>
      <c r="O889" s="19">
        <v>45544</v>
      </c>
      <c r="P889" s="2"/>
      <c r="Q889" s="2">
        <f t="shared" si="27"/>
        <v>-45544</v>
      </c>
    </row>
    <row r="890" spans="3:17" x14ac:dyDescent="0.25">
      <c r="C890" s="13" t="s">
        <v>2108</v>
      </c>
      <c r="D890" s="13" t="s">
        <v>2109</v>
      </c>
      <c r="F890" t="s">
        <v>159</v>
      </c>
      <c r="G890" t="s">
        <v>2110</v>
      </c>
      <c r="H890" s="14">
        <v>1</v>
      </c>
      <c r="I890" s="10" t="s">
        <v>183</v>
      </c>
      <c r="J890" s="1">
        <v>45472</v>
      </c>
      <c r="K890" s="1">
        <v>45502</v>
      </c>
      <c r="L890" s="25">
        <f ca="1">CLIENTES[[#This Row],[Fecha Vencimiento]]-$J$6</f>
        <v>-93</v>
      </c>
      <c r="N890" s="1" t="str">
        <f t="shared" ca="1" si="28"/>
        <v>Vencido</v>
      </c>
      <c r="O890" s="19"/>
      <c r="P890" s="2"/>
      <c r="Q890" s="2">
        <f t="shared" si="27"/>
        <v>0</v>
      </c>
    </row>
    <row r="891" spans="3:17" x14ac:dyDescent="0.25">
      <c r="C891" s="13" t="s">
        <v>2108</v>
      </c>
      <c r="D891" s="13" t="s">
        <v>2111</v>
      </c>
      <c r="E891" s="10">
        <v>1169135569</v>
      </c>
      <c r="F891" t="s">
        <v>35</v>
      </c>
      <c r="G891" t="s">
        <v>2112</v>
      </c>
      <c r="I891" s="10" t="s">
        <v>28</v>
      </c>
      <c r="J891" s="1">
        <v>45510</v>
      </c>
      <c r="K891" s="1">
        <v>45541</v>
      </c>
      <c r="L891" s="25">
        <f ca="1">CLIENTES[[#This Row],[Fecha Vencimiento]]-$J$6</f>
        <v>-54</v>
      </c>
      <c r="N891" s="1" t="str">
        <f t="shared" ca="1" si="28"/>
        <v>Vencido</v>
      </c>
      <c r="O891" s="19"/>
      <c r="P891" s="2"/>
      <c r="Q891" s="2">
        <f t="shared" si="27"/>
        <v>0</v>
      </c>
    </row>
    <row r="892" spans="3:17" x14ac:dyDescent="0.25">
      <c r="C892" s="13" t="s">
        <v>2108</v>
      </c>
      <c r="D892" s="13" t="s">
        <v>2113</v>
      </c>
      <c r="E892" s="10">
        <v>1165592492</v>
      </c>
      <c r="F892" t="s">
        <v>35</v>
      </c>
      <c r="G892" t="s">
        <v>2114</v>
      </c>
      <c r="H892" s="14">
        <v>3</v>
      </c>
      <c r="I892" s="10" t="s">
        <v>28</v>
      </c>
      <c r="J892" s="1">
        <v>45570</v>
      </c>
      <c r="K892" s="1">
        <v>45601</v>
      </c>
      <c r="L892" s="25">
        <f ca="1">CLIENTES[[#This Row],[Fecha Vencimiento]]-$J$6</f>
        <v>6</v>
      </c>
      <c r="N892" s="1" t="str">
        <f t="shared" ca="1" si="28"/>
        <v>Al dia</v>
      </c>
      <c r="O892" s="19"/>
      <c r="P892" s="2"/>
      <c r="Q892" s="2">
        <f t="shared" si="27"/>
        <v>0</v>
      </c>
    </row>
    <row r="893" spans="3:17" x14ac:dyDescent="0.25">
      <c r="C893" s="13" t="s">
        <v>2108</v>
      </c>
      <c r="D893" s="13" t="s">
        <v>2115</v>
      </c>
      <c r="F893" t="s">
        <v>35</v>
      </c>
      <c r="G893" t="s">
        <v>2116</v>
      </c>
      <c r="H893" s="14">
        <v>5</v>
      </c>
      <c r="I893" s="10" t="s">
        <v>28</v>
      </c>
      <c r="J893" s="1">
        <v>45580</v>
      </c>
      <c r="K893" s="1">
        <v>45614</v>
      </c>
      <c r="L893" s="25">
        <f ca="1">CLIENTES[[#This Row],[Fecha Vencimiento]]-$J$6</f>
        <v>19</v>
      </c>
      <c r="N893" s="1" t="str">
        <f t="shared" ca="1" si="28"/>
        <v>Al dia</v>
      </c>
      <c r="O893" s="19"/>
      <c r="P893" s="2"/>
      <c r="Q893" s="2">
        <f t="shared" si="27"/>
        <v>0</v>
      </c>
    </row>
    <row r="894" spans="3:17" x14ac:dyDescent="0.25">
      <c r="C894" s="13" t="s">
        <v>2108</v>
      </c>
      <c r="D894" s="13" t="s">
        <v>2109</v>
      </c>
      <c r="F894" t="s">
        <v>159</v>
      </c>
      <c r="G894" t="s">
        <v>2117</v>
      </c>
      <c r="H894" s="14">
        <v>1</v>
      </c>
      <c r="I894" s="10" t="s">
        <v>183</v>
      </c>
      <c r="J894" s="1">
        <v>45472</v>
      </c>
      <c r="K894" s="1">
        <v>45502</v>
      </c>
      <c r="L894" s="25">
        <f ca="1">CLIENTES[[#This Row],[Fecha Vencimiento]]-$J$6</f>
        <v>-93</v>
      </c>
      <c r="N894" s="1" t="str">
        <f t="shared" ca="1" si="28"/>
        <v>Vencido</v>
      </c>
      <c r="O894" s="19">
        <v>45472</v>
      </c>
      <c r="P894" s="2"/>
      <c r="Q894" s="2">
        <f t="shared" si="27"/>
        <v>-45472</v>
      </c>
    </row>
    <row r="895" spans="3:17" x14ac:dyDescent="0.25">
      <c r="C895" s="13" t="s">
        <v>2108</v>
      </c>
      <c r="D895" s="13" t="s">
        <v>2118</v>
      </c>
      <c r="E895" s="10">
        <v>1130094744</v>
      </c>
      <c r="F895" t="s">
        <v>35</v>
      </c>
      <c r="G895" t="s">
        <v>2119</v>
      </c>
      <c r="H895" s="14">
        <v>1</v>
      </c>
      <c r="I895" s="10" t="s">
        <v>28</v>
      </c>
      <c r="J895" s="1">
        <v>45567</v>
      </c>
      <c r="K895" s="1">
        <v>45598</v>
      </c>
      <c r="L895" s="25">
        <f ca="1">CLIENTES[[#This Row],[Fecha Vencimiento]]-$J$6</f>
        <v>3</v>
      </c>
      <c r="N895" s="1" t="str">
        <f t="shared" ca="1" si="28"/>
        <v>Por vencer</v>
      </c>
      <c r="O895" s="19">
        <v>45567</v>
      </c>
      <c r="P895" s="2"/>
      <c r="Q895" s="2">
        <f t="shared" si="27"/>
        <v>-45567</v>
      </c>
    </row>
    <row r="896" spans="3:17" x14ac:dyDescent="0.25">
      <c r="C896" t="s">
        <v>2120</v>
      </c>
      <c r="D896" t="s">
        <v>2121</v>
      </c>
      <c r="E896" s="10">
        <v>1130094744</v>
      </c>
      <c r="F896" t="s">
        <v>2119</v>
      </c>
      <c r="H896" s="14">
        <v>1</v>
      </c>
      <c r="I896" s="10" t="s">
        <v>28</v>
      </c>
      <c r="J896" s="1">
        <v>45567</v>
      </c>
      <c r="K896" s="1">
        <v>45598</v>
      </c>
      <c r="L896" s="26">
        <f ca="1">CLIENTES[[#This Row],[Fecha Vencimiento]]-$J$6</f>
        <v>3</v>
      </c>
      <c r="N896" s="1" t="str">
        <f t="shared" ca="1" si="28"/>
        <v>Por vencer</v>
      </c>
      <c r="O896" s="19"/>
      <c r="P896" s="2"/>
      <c r="Q896" s="2">
        <f t="shared" si="27"/>
        <v>0</v>
      </c>
    </row>
    <row r="897" spans="3:17" x14ac:dyDescent="0.25">
      <c r="C897" s="13" t="s">
        <v>2122</v>
      </c>
      <c r="D897" s="13" t="s">
        <v>2123</v>
      </c>
      <c r="E897" s="10">
        <v>1155894249</v>
      </c>
      <c r="F897" t="s">
        <v>35</v>
      </c>
      <c r="G897" t="s">
        <v>2124</v>
      </c>
      <c r="H897" s="14">
        <v>1</v>
      </c>
      <c r="I897" s="10" t="s">
        <v>28</v>
      </c>
      <c r="J897" s="1">
        <v>45569</v>
      </c>
      <c r="K897" s="1">
        <v>45600</v>
      </c>
      <c r="L897" s="25">
        <f ca="1">CLIENTES[[#This Row],[Fecha Vencimiento]]-$J$6</f>
        <v>5</v>
      </c>
      <c r="N897" s="1" t="str">
        <f t="shared" ca="1" si="28"/>
        <v>Al dia</v>
      </c>
      <c r="O897" s="19">
        <v>45569</v>
      </c>
      <c r="P897" s="2"/>
      <c r="Q897" s="2">
        <f t="shared" si="27"/>
        <v>-45569</v>
      </c>
    </row>
    <row r="898" spans="3:17" x14ac:dyDescent="0.25">
      <c r="C898" s="13" t="s">
        <v>2122</v>
      </c>
      <c r="D898" s="13" t="s">
        <v>2125</v>
      </c>
      <c r="F898" t="s">
        <v>26</v>
      </c>
      <c r="G898" t="s">
        <v>2126</v>
      </c>
      <c r="H898" s="14">
        <v>2</v>
      </c>
      <c r="I898" s="10" t="s">
        <v>28</v>
      </c>
      <c r="J898" s="1">
        <v>45545</v>
      </c>
      <c r="K898" s="1">
        <v>45609</v>
      </c>
      <c r="L898" s="25">
        <f ca="1">CLIENTES[[#This Row],[Fecha Vencimiento]]-$J$6</f>
        <v>14</v>
      </c>
      <c r="N898" s="1" t="str">
        <f t="shared" ca="1" si="28"/>
        <v>Al dia</v>
      </c>
      <c r="O898" s="19">
        <v>45548</v>
      </c>
      <c r="P898" s="2"/>
      <c r="Q898" s="2">
        <f t="shared" si="27"/>
        <v>-45548</v>
      </c>
    </row>
    <row r="899" spans="3:17" x14ac:dyDescent="0.25">
      <c r="C899" s="13" t="s">
        <v>2122</v>
      </c>
      <c r="D899" s="13" t="s">
        <v>2127</v>
      </c>
      <c r="E899" s="10">
        <v>1161604805</v>
      </c>
      <c r="F899" t="s">
        <v>35</v>
      </c>
      <c r="G899" t="s">
        <v>2128</v>
      </c>
      <c r="H899" s="14">
        <v>5</v>
      </c>
      <c r="I899" s="10" t="s">
        <v>28</v>
      </c>
      <c r="J899" s="1">
        <v>45579</v>
      </c>
      <c r="K899" s="1">
        <v>45610</v>
      </c>
      <c r="L899" s="25">
        <f ca="1">CLIENTES[[#This Row],[Fecha Vencimiento]]-$J$6</f>
        <v>15</v>
      </c>
      <c r="N899" s="1" t="str">
        <f t="shared" ca="1" si="28"/>
        <v>Al dia</v>
      </c>
      <c r="O899" s="19"/>
      <c r="P899" s="2"/>
      <c r="Q899" s="2">
        <f t="shared" si="27"/>
        <v>0</v>
      </c>
    </row>
    <row r="900" spans="3:17" x14ac:dyDescent="0.25">
      <c r="C900" s="13" t="s">
        <v>2122</v>
      </c>
      <c r="D900" s="13" t="s">
        <v>2129</v>
      </c>
      <c r="E900" s="10">
        <v>1123932524</v>
      </c>
      <c r="F900" t="s">
        <v>35</v>
      </c>
      <c r="G900" t="s">
        <v>2130</v>
      </c>
      <c r="H900" s="14">
        <v>1</v>
      </c>
      <c r="I900" s="10" t="s">
        <v>28</v>
      </c>
      <c r="J900" s="1">
        <v>45578</v>
      </c>
      <c r="K900" s="1">
        <v>45609</v>
      </c>
      <c r="L900" s="25">
        <f ca="1">CLIENTES[[#This Row],[Fecha Vencimiento]]-$J$6</f>
        <v>14</v>
      </c>
      <c r="N900" s="1" t="str">
        <f t="shared" ca="1" si="28"/>
        <v>Al dia</v>
      </c>
      <c r="O900" s="19"/>
      <c r="P900" s="2"/>
      <c r="Q900" s="2">
        <f t="shared" si="27"/>
        <v>0</v>
      </c>
    </row>
    <row r="901" spans="3:17" x14ac:dyDescent="0.25">
      <c r="C901" s="13" t="s">
        <v>2122</v>
      </c>
      <c r="D901" s="13" t="s">
        <v>2131</v>
      </c>
      <c r="E901" s="10">
        <v>1132261959</v>
      </c>
      <c r="F901" t="s">
        <v>26</v>
      </c>
      <c r="G901" t="s">
        <v>2132</v>
      </c>
      <c r="H901" s="14">
        <v>1</v>
      </c>
      <c r="I901" s="10" t="s">
        <v>28</v>
      </c>
      <c r="J901" s="1">
        <v>45539</v>
      </c>
      <c r="K901" s="1">
        <v>45569</v>
      </c>
      <c r="L901" s="25">
        <f ca="1">CLIENTES[[#This Row],[Fecha Vencimiento]]-$J$6</f>
        <v>-26</v>
      </c>
      <c r="N901" s="1" t="str">
        <f t="shared" ca="1" si="28"/>
        <v>Vencido</v>
      </c>
      <c r="O901" s="19">
        <v>45539</v>
      </c>
      <c r="P901" s="2"/>
      <c r="Q901" s="2">
        <f t="shared" si="27"/>
        <v>-45539</v>
      </c>
    </row>
    <row r="902" spans="3:17" x14ac:dyDescent="0.25">
      <c r="C902" s="13" t="s">
        <v>2133</v>
      </c>
      <c r="D902" s="13" t="s">
        <v>2134</v>
      </c>
      <c r="E902" s="10">
        <v>1132635008</v>
      </c>
      <c r="F902" t="s">
        <v>35</v>
      </c>
      <c r="G902" t="s">
        <v>2135</v>
      </c>
      <c r="H902" s="14">
        <v>6</v>
      </c>
      <c r="I902" s="10" t="s">
        <v>28</v>
      </c>
      <c r="J902" s="1">
        <v>45582</v>
      </c>
      <c r="K902" s="1">
        <v>45616</v>
      </c>
      <c r="L902" s="25">
        <f ca="1">CLIENTES[[#This Row],[Fecha Vencimiento]]-$J$6</f>
        <v>21</v>
      </c>
      <c r="N902" s="1" t="str">
        <f t="shared" ca="1" si="28"/>
        <v>Al dia</v>
      </c>
      <c r="O902" s="19"/>
      <c r="P902" s="2"/>
      <c r="Q902" s="2">
        <f t="shared" si="27"/>
        <v>0</v>
      </c>
    </row>
    <row r="903" spans="3:17" x14ac:dyDescent="0.25">
      <c r="C903" s="13" t="s">
        <v>2136</v>
      </c>
      <c r="D903" s="13" t="s">
        <v>2137</v>
      </c>
      <c r="F903" t="s">
        <v>35</v>
      </c>
      <c r="G903" t="s">
        <v>2138</v>
      </c>
      <c r="I903" s="10" t="s">
        <v>28</v>
      </c>
      <c r="J903" s="1">
        <v>45506</v>
      </c>
      <c r="K903" s="1">
        <v>45529</v>
      </c>
      <c r="L903" s="25">
        <f ca="1">CLIENTES[[#This Row],[Fecha Vencimiento]]-$J$6</f>
        <v>-66</v>
      </c>
      <c r="N903" s="1" t="str">
        <f t="shared" ca="1" si="28"/>
        <v>Vencido</v>
      </c>
      <c r="O903" s="19"/>
      <c r="P903" s="2"/>
      <c r="Q903" s="2">
        <f t="shared" si="27"/>
        <v>0</v>
      </c>
    </row>
    <row r="904" spans="3:17" x14ac:dyDescent="0.25">
      <c r="C904" s="13" t="s">
        <v>2139</v>
      </c>
      <c r="D904" s="13" t="s">
        <v>2140</v>
      </c>
      <c r="F904" t="s">
        <v>35</v>
      </c>
      <c r="G904" t="s">
        <v>2141</v>
      </c>
      <c r="I904" s="10" t="s">
        <v>28</v>
      </c>
      <c r="J904" s="1">
        <v>45451</v>
      </c>
      <c r="K904" s="1">
        <v>45481</v>
      </c>
      <c r="L904" s="25">
        <f ca="1">CLIENTES[[#This Row],[Fecha Vencimiento]]-$J$6</f>
        <v>-114</v>
      </c>
      <c r="N904" s="1" t="str">
        <f t="shared" ca="1" si="28"/>
        <v>Vencido</v>
      </c>
      <c r="O904" s="19"/>
      <c r="P904" s="2"/>
      <c r="Q904" s="2">
        <f t="shared" ref="Q904:Q967" si="29">P904-O904</f>
        <v>0</v>
      </c>
    </row>
    <row r="905" spans="3:17" x14ac:dyDescent="0.25">
      <c r="C905" s="13" t="s">
        <v>2142</v>
      </c>
      <c r="D905" s="13" t="s">
        <v>172</v>
      </c>
      <c r="E905" s="10">
        <v>1144055773</v>
      </c>
      <c r="F905" t="s">
        <v>35</v>
      </c>
      <c r="G905" t="s">
        <v>2143</v>
      </c>
      <c r="H905" s="14">
        <v>2</v>
      </c>
      <c r="I905" s="10" t="s">
        <v>28</v>
      </c>
      <c r="J905" s="1">
        <v>45573</v>
      </c>
      <c r="K905" s="1">
        <v>45602</v>
      </c>
      <c r="L905" s="25">
        <f ca="1">CLIENTES[[#This Row],[Fecha Vencimiento]]-$J$6</f>
        <v>7</v>
      </c>
      <c r="N905" s="1" t="str">
        <f t="shared" ca="1" si="28"/>
        <v>Al dia</v>
      </c>
      <c r="O905" s="19"/>
      <c r="P905" s="2"/>
      <c r="Q905" s="2">
        <f t="shared" si="29"/>
        <v>0</v>
      </c>
    </row>
    <row r="906" spans="3:17" x14ac:dyDescent="0.25">
      <c r="C906" s="13" t="s">
        <v>2144</v>
      </c>
      <c r="D906" t="s">
        <v>2145</v>
      </c>
      <c r="F906" t="s">
        <v>35</v>
      </c>
      <c r="G906" t="s">
        <v>2146</v>
      </c>
      <c r="H906" s="14">
        <v>2</v>
      </c>
      <c r="I906" s="10"/>
      <c r="J906" s="1">
        <v>45582</v>
      </c>
      <c r="K906" s="1">
        <v>45612</v>
      </c>
      <c r="L906" s="25">
        <f ca="1">CLIENTES[[#This Row],[Fecha Vencimiento]]-$J$6</f>
        <v>17</v>
      </c>
      <c r="N906" s="1" t="str">
        <f t="shared" ca="1" si="28"/>
        <v>Al dia</v>
      </c>
      <c r="O906" s="19"/>
      <c r="P906" s="2"/>
      <c r="Q906" s="2">
        <f t="shared" si="29"/>
        <v>0</v>
      </c>
    </row>
    <row r="907" spans="3:17" x14ac:dyDescent="0.25">
      <c r="C907" s="13" t="s">
        <v>2147</v>
      </c>
      <c r="D907" t="s">
        <v>2148</v>
      </c>
      <c r="E907" s="10">
        <v>1133598930</v>
      </c>
      <c r="F907" t="s">
        <v>35</v>
      </c>
      <c r="G907" t="s">
        <v>2149</v>
      </c>
      <c r="H907" s="14">
        <v>1</v>
      </c>
      <c r="I907" s="10" t="s">
        <v>28</v>
      </c>
      <c r="J907" s="1">
        <v>45583</v>
      </c>
      <c r="K907" s="1">
        <v>45614</v>
      </c>
      <c r="L907" s="25">
        <f ca="1">CLIENTES[[#This Row],[Fecha Vencimiento]]-$J$6</f>
        <v>19</v>
      </c>
      <c r="N907" s="1" t="str">
        <f t="shared" ca="1" si="28"/>
        <v>Al dia</v>
      </c>
      <c r="O907" s="19"/>
      <c r="P907" s="2"/>
      <c r="Q907" s="2">
        <f t="shared" si="29"/>
        <v>0</v>
      </c>
    </row>
    <row r="908" spans="3:17" x14ac:dyDescent="0.25">
      <c r="C908" s="13" t="s">
        <v>2150</v>
      </c>
      <c r="D908" s="13" t="s">
        <v>2151</v>
      </c>
      <c r="F908" t="s">
        <v>35</v>
      </c>
      <c r="G908" t="s">
        <v>2152</v>
      </c>
      <c r="I908" s="10" t="s">
        <v>28</v>
      </c>
      <c r="J908" s="1">
        <v>45497</v>
      </c>
      <c r="K908" s="1">
        <v>45528</v>
      </c>
      <c r="L908" s="25">
        <f ca="1">CLIENTES[[#This Row],[Fecha Vencimiento]]-$J$6</f>
        <v>-67</v>
      </c>
      <c r="N908" s="1" t="str">
        <f t="shared" ca="1" si="28"/>
        <v>Vencido</v>
      </c>
      <c r="O908" s="19"/>
      <c r="P908" s="2"/>
      <c r="Q908" s="2">
        <f t="shared" si="29"/>
        <v>0</v>
      </c>
    </row>
    <row r="909" spans="3:17" x14ac:dyDescent="0.25">
      <c r="C909" s="13" t="s">
        <v>2150</v>
      </c>
      <c r="D909" s="13" t="s">
        <v>2151</v>
      </c>
      <c r="E909" s="10">
        <v>1164166363</v>
      </c>
      <c r="F909" t="s">
        <v>35</v>
      </c>
      <c r="G909" t="s">
        <v>2153</v>
      </c>
      <c r="H909" s="14">
        <v>2</v>
      </c>
      <c r="I909" s="10" t="s">
        <v>28</v>
      </c>
      <c r="J909" s="1">
        <v>45580</v>
      </c>
      <c r="K909" s="1">
        <v>45611</v>
      </c>
      <c r="L909" s="25">
        <f ca="1">CLIENTES[[#This Row],[Fecha Vencimiento]]-$J$6</f>
        <v>16</v>
      </c>
      <c r="N909" s="1" t="str">
        <f t="shared" ca="1" si="28"/>
        <v>Al dia</v>
      </c>
      <c r="O909" s="19"/>
      <c r="P909" s="2"/>
      <c r="Q909" s="2">
        <f t="shared" si="29"/>
        <v>0</v>
      </c>
    </row>
    <row r="910" spans="3:17" x14ac:dyDescent="0.25">
      <c r="C910" s="13" t="s">
        <v>2154</v>
      </c>
      <c r="D910" s="13" t="s">
        <v>2151</v>
      </c>
      <c r="F910" t="s">
        <v>35</v>
      </c>
      <c r="G910" t="s">
        <v>2155</v>
      </c>
      <c r="I910" s="10" t="s">
        <v>28</v>
      </c>
      <c r="J910" s="1">
        <v>45469</v>
      </c>
      <c r="K910" s="1">
        <v>45497</v>
      </c>
      <c r="L910" s="25">
        <f ca="1">CLIENTES[[#This Row],[Fecha Vencimiento]]-$J$6</f>
        <v>-98</v>
      </c>
      <c r="N910" s="1" t="str">
        <f t="shared" ca="1" si="28"/>
        <v>Vencido</v>
      </c>
      <c r="O910" s="19"/>
      <c r="P910" s="2"/>
      <c r="Q910" s="2">
        <f t="shared" si="29"/>
        <v>0</v>
      </c>
    </row>
    <row r="911" spans="3:17" x14ac:dyDescent="0.25">
      <c r="C911" s="13" t="s">
        <v>2156</v>
      </c>
      <c r="D911" s="13" t="s">
        <v>2157</v>
      </c>
      <c r="F911" t="s">
        <v>35</v>
      </c>
      <c r="G911" t="s">
        <v>2158</v>
      </c>
      <c r="H911" s="14">
        <v>6</v>
      </c>
      <c r="I911" s="10" t="s">
        <v>28</v>
      </c>
      <c r="J911" s="1">
        <v>45574</v>
      </c>
      <c r="K911" s="1">
        <v>45604</v>
      </c>
      <c r="L911" s="25">
        <f ca="1">CLIENTES[[#This Row],[Fecha Vencimiento]]-$J$6</f>
        <v>9</v>
      </c>
      <c r="N911" s="1" t="str">
        <f t="shared" ca="1" si="28"/>
        <v>Al dia</v>
      </c>
      <c r="O911" s="19"/>
      <c r="P911" s="2"/>
      <c r="Q911" s="2">
        <f t="shared" si="29"/>
        <v>0</v>
      </c>
    </row>
    <row r="912" spans="3:17" x14ac:dyDescent="0.25">
      <c r="C912" s="13" t="s">
        <v>2156</v>
      </c>
      <c r="D912" s="13" t="s">
        <v>2159</v>
      </c>
      <c r="E912" s="10">
        <v>1122437349</v>
      </c>
      <c r="F912" t="s">
        <v>35</v>
      </c>
      <c r="G912" t="s">
        <v>2160</v>
      </c>
      <c r="H912" s="14">
        <v>7</v>
      </c>
      <c r="I912" s="10" t="s">
        <v>28</v>
      </c>
      <c r="J912" s="1">
        <v>45586</v>
      </c>
      <c r="K912" s="1">
        <v>45616</v>
      </c>
      <c r="L912" s="25">
        <f ca="1">CLIENTES[[#This Row],[Fecha Vencimiento]]-$J$6</f>
        <v>21</v>
      </c>
      <c r="N912" s="1" t="str">
        <f t="shared" ca="1" si="28"/>
        <v>Al dia</v>
      </c>
      <c r="O912" s="19"/>
      <c r="P912" s="2"/>
      <c r="Q912" s="2">
        <f t="shared" si="29"/>
        <v>0</v>
      </c>
    </row>
    <row r="913" spans="3:17" x14ac:dyDescent="0.25">
      <c r="C913" s="13" t="s">
        <v>2156</v>
      </c>
      <c r="D913" s="13" t="s">
        <v>2161</v>
      </c>
      <c r="E913" s="10">
        <v>1136645283</v>
      </c>
      <c r="F913" t="s">
        <v>35</v>
      </c>
      <c r="G913" t="s">
        <v>2162</v>
      </c>
      <c r="H913" s="14">
        <v>3</v>
      </c>
      <c r="I913" s="10" t="s">
        <v>28</v>
      </c>
      <c r="J913" s="1">
        <v>45582</v>
      </c>
      <c r="K913" s="1">
        <v>45615</v>
      </c>
      <c r="L913" s="25">
        <f ca="1">CLIENTES[[#This Row],[Fecha Vencimiento]]-$J$6</f>
        <v>20</v>
      </c>
      <c r="N913" s="1" t="str">
        <f t="shared" ca="1" si="28"/>
        <v>Al dia</v>
      </c>
      <c r="O913" s="19"/>
      <c r="P913" s="2"/>
      <c r="Q913" s="2">
        <f t="shared" si="29"/>
        <v>0</v>
      </c>
    </row>
    <row r="914" spans="3:17" x14ac:dyDescent="0.25">
      <c r="C914" s="13" t="s">
        <v>2156</v>
      </c>
      <c r="D914" s="13" t="s">
        <v>2161</v>
      </c>
      <c r="E914" s="10">
        <v>1136645283</v>
      </c>
      <c r="F914" t="s">
        <v>35</v>
      </c>
      <c r="G914" t="s">
        <v>2163</v>
      </c>
      <c r="I914" s="10" t="s">
        <v>28</v>
      </c>
      <c r="J914" s="1">
        <v>45523</v>
      </c>
      <c r="K914" s="1">
        <v>45546</v>
      </c>
      <c r="L914" s="25">
        <f ca="1">CLIENTES[[#This Row],[Fecha Vencimiento]]-$J$6</f>
        <v>-49</v>
      </c>
      <c r="N914" s="1" t="str">
        <f t="shared" ca="1" si="28"/>
        <v>Vencido</v>
      </c>
      <c r="O914" s="19"/>
      <c r="P914" s="2"/>
      <c r="Q914" s="2">
        <f t="shared" si="29"/>
        <v>0</v>
      </c>
    </row>
    <row r="915" spans="3:17" x14ac:dyDescent="0.25">
      <c r="C915" s="13" t="s">
        <v>2164</v>
      </c>
      <c r="D915" s="13" t="s">
        <v>2165</v>
      </c>
      <c r="E915" s="10">
        <v>1135911324</v>
      </c>
      <c r="F915" t="s">
        <v>35</v>
      </c>
      <c r="G915" t="s">
        <v>2166</v>
      </c>
      <c r="H915" s="14">
        <v>4</v>
      </c>
      <c r="I915" s="10" t="s">
        <v>28</v>
      </c>
      <c r="J915" s="1">
        <v>45556</v>
      </c>
      <c r="K915" s="1">
        <v>45577</v>
      </c>
      <c r="L915" s="25">
        <f ca="1">CLIENTES[[#This Row],[Fecha Vencimiento]]-$J$6</f>
        <v>-18</v>
      </c>
      <c r="N915" s="1" t="str">
        <f t="shared" ca="1" si="28"/>
        <v>Vencido</v>
      </c>
      <c r="O915" s="19"/>
      <c r="P915" s="2"/>
      <c r="Q915" s="2">
        <f t="shared" si="29"/>
        <v>0</v>
      </c>
    </row>
    <row r="916" spans="3:17" x14ac:dyDescent="0.25">
      <c r="C916" s="13" t="s">
        <v>2164</v>
      </c>
      <c r="D916" s="13" t="s">
        <v>960</v>
      </c>
      <c r="E916" s="10">
        <v>1128544436</v>
      </c>
      <c r="F916" t="s">
        <v>35</v>
      </c>
      <c r="G916" t="s">
        <v>2167</v>
      </c>
      <c r="H916" s="14">
        <v>1</v>
      </c>
      <c r="I916" s="10" t="s">
        <v>28</v>
      </c>
      <c r="J916" s="1">
        <v>45548</v>
      </c>
      <c r="K916" s="1">
        <v>45578</v>
      </c>
      <c r="L916" s="25">
        <f ca="1">CLIENTES[[#This Row],[Fecha Vencimiento]]-$J$6</f>
        <v>-17</v>
      </c>
      <c r="N916" s="1" t="str">
        <f t="shared" ca="1" si="28"/>
        <v>Vencido</v>
      </c>
      <c r="O916" s="19">
        <v>45548</v>
      </c>
      <c r="P916" s="2"/>
      <c r="Q916" s="2">
        <f t="shared" si="29"/>
        <v>-45548</v>
      </c>
    </row>
    <row r="917" spans="3:17" x14ac:dyDescent="0.25">
      <c r="C917" s="13" t="s">
        <v>2164</v>
      </c>
      <c r="D917" s="13" t="s">
        <v>2168</v>
      </c>
      <c r="E917" s="10">
        <v>1154895296</v>
      </c>
      <c r="F917" t="s">
        <v>35</v>
      </c>
      <c r="G917" t="s">
        <v>1965</v>
      </c>
      <c r="H917" s="14">
        <v>2</v>
      </c>
      <c r="I917" s="10" t="s">
        <v>28</v>
      </c>
      <c r="J917" s="1">
        <v>45573</v>
      </c>
      <c r="K917" s="1">
        <v>45608</v>
      </c>
      <c r="L917" s="25">
        <f ca="1">CLIENTES[[#This Row],[Fecha Vencimiento]]-$J$6</f>
        <v>13</v>
      </c>
      <c r="N917" s="1" t="str">
        <f t="shared" ca="1" si="28"/>
        <v>Al dia</v>
      </c>
      <c r="O917" s="19">
        <v>45546</v>
      </c>
      <c r="P917" s="2"/>
      <c r="Q917" s="2">
        <f t="shared" si="29"/>
        <v>-45546</v>
      </c>
    </row>
    <row r="918" spans="3:17" x14ac:dyDescent="0.25">
      <c r="C918" s="13" t="s">
        <v>2164</v>
      </c>
      <c r="D918" s="13" t="s">
        <v>960</v>
      </c>
      <c r="E918" s="10">
        <v>112854436</v>
      </c>
      <c r="F918" t="s">
        <v>35</v>
      </c>
      <c r="G918" t="s">
        <v>2169</v>
      </c>
      <c r="H918" s="14">
        <v>1</v>
      </c>
      <c r="I918" s="10" t="s">
        <v>28</v>
      </c>
      <c r="J918" s="1">
        <v>45561</v>
      </c>
      <c r="K918" s="1">
        <v>45591</v>
      </c>
      <c r="L918" s="25">
        <f ca="1">CLIENTES[[#This Row],[Fecha Vencimiento]]-$J$6</f>
        <v>-4</v>
      </c>
      <c r="N918" s="1" t="str">
        <f t="shared" ca="1" si="28"/>
        <v>Vencido</v>
      </c>
      <c r="O918" s="19">
        <v>45561</v>
      </c>
      <c r="P918" s="2"/>
      <c r="Q918" s="2">
        <f t="shared" si="29"/>
        <v>-45561</v>
      </c>
    </row>
    <row r="919" spans="3:17" x14ac:dyDescent="0.25">
      <c r="C919" s="13" t="s">
        <v>2170</v>
      </c>
      <c r="D919" s="13" t="s">
        <v>44</v>
      </c>
      <c r="E919" s="10">
        <v>1151765405</v>
      </c>
      <c r="F919" t="s">
        <v>35</v>
      </c>
      <c r="G919" t="s">
        <v>2171</v>
      </c>
      <c r="H919" s="14">
        <v>1</v>
      </c>
      <c r="I919" s="10" t="s">
        <v>28</v>
      </c>
      <c r="J919" s="1">
        <v>45579</v>
      </c>
      <c r="K919" s="1">
        <v>45615</v>
      </c>
      <c r="L919" s="25">
        <f ca="1">CLIENTES[[#This Row],[Fecha Vencimiento]]-$J$6</f>
        <v>20</v>
      </c>
      <c r="N919" s="1" t="str">
        <f t="shared" ca="1" si="28"/>
        <v>Al dia</v>
      </c>
      <c r="O919" s="19">
        <v>45579</v>
      </c>
      <c r="P919" s="2"/>
      <c r="Q919" s="2">
        <f t="shared" si="29"/>
        <v>-45579</v>
      </c>
    </row>
    <row r="920" spans="3:17" x14ac:dyDescent="0.25">
      <c r="C920" s="13" t="s">
        <v>2172</v>
      </c>
      <c r="D920" s="13" t="s">
        <v>2173</v>
      </c>
      <c r="F920" t="s">
        <v>35</v>
      </c>
      <c r="G920" t="s">
        <v>2174</v>
      </c>
      <c r="I920" s="10" t="s">
        <v>28</v>
      </c>
      <c r="J920" s="1">
        <v>45498</v>
      </c>
      <c r="K920" s="1">
        <v>45529</v>
      </c>
      <c r="L920" s="25">
        <f ca="1">CLIENTES[[#This Row],[Fecha Vencimiento]]-$J$6</f>
        <v>-66</v>
      </c>
      <c r="N920" s="1" t="str">
        <f t="shared" ca="1" si="28"/>
        <v>Vencido</v>
      </c>
      <c r="O920" s="19"/>
      <c r="P920" s="2"/>
      <c r="Q920" s="2">
        <f t="shared" si="29"/>
        <v>0</v>
      </c>
    </row>
    <row r="921" spans="3:17" x14ac:dyDescent="0.25">
      <c r="C921" s="13" t="s">
        <v>2175</v>
      </c>
      <c r="D921" s="13" t="s">
        <v>2176</v>
      </c>
      <c r="E921" s="10">
        <v>1127357695</v>
      </c>
      <c r="F921" t="s">
        <v>35</v>
      </c>
      <c r="G921" t="s">
        <v>2177</v>
      </c>
      <c r="H921" s="14">
        <v>1</v>
      </c>
      <c r="I921" s="10" t="s">
        <v>28</v>
      </c>
      <c r="J921" s="1">
        <v>45548</v>
      </c>
      <c r="K921" s="1">
        <v>45578</v>
      </c>
      <c r="L921" s="25">
        <f ca="1">CLIENTES[[#This Row],[Fecha Vencimiento]]-$J$6</f>
        <v>-17</v>
      </c>
      <c r="N921" s="1" t="str">
        <f t="shared" ca="1" si="28"/>
        <v>Vencido</v>
      </c>
      <c r="O921" s="19">
        <v>45548</v>
      </c>
      <c r="P921" s="2"/>
      <c r="Q921" s="2">
        <f t="shared" si="29"/>
        <v>-45548</v>
      </c>
    </row>
    <row r="922" spans="3:17" x14ac:dyDescent="0.25">
      <c r="C922" t="s">
        <v>2178</v>
      </c>
      <c r="D922" t="s">
        <v>277</v>
      </c>
      <c r="E922" s="10">
        <v>1167113200</v>
      </c>
      <c r="F922" t="s">
        <v>35</v>
      </c>
      <c r="G922" t="s">
        <v>2179</v>
      </c>
      <c r="H922" s="14">
        <v>2</v>
      </c>
      <c r="I922" s="10" t="s">
        <v>28</v>
      </c>
      <c r="J922" s="1">
        <v>45583</v>
      </c>
      <c r="K922" s="1">
        <v>45614</v>
      </c>
      <c r="L922" s="25">
        <f ca="1">CLIENTES[[#This Row],[Fecha Vencimiento]]-$J$6</f>
        <v>19</v>
      </c>
      <c r="N922" s="1" t="str">
        <f t="shared" ca="1" si="28"/>
        <v>Al dia</v>
      </c>
      <c r="O922" s="19">
        <v>45554</v>
      </c>
      <c r="P922" s="2"/>
      <c r="Q922" s="2">
        <f t="shared" si="29"/>
        <v>-45554</v>
      </c>
    </row>
    <row r="923" spans="3:17" x14ac:dyDescent="0.25">
      <c r="C923" s="13" t="s">
        <v>2180</v>
      </c>
      <c r="D923" s="13" t="s">
        <v>1487</v>
      </c>
      <c r="E923" s="10">
        <v>1122552578</v>
      </c>
      <c r="F923" t="s">
        <v>232</v>
      </c>
      <c r="G923" t="s">
        <v>2181</v>
      </c>
      <c r="H923" s="14">
        <v>2</v>
      </c>
      <c r="I923" s="10" t="s">
        <v>28</v>
      </c>
      <c r="J923" s="1">
        <v>45570</v>
      </c>
      <c r="K923" s="1">
        <v>45601</v>
      </c>
      <c r="L923" s="25">
        <f ca="1">CLIENTES[[#This Row],[Fecha Vencimiento]]-$J$6</f>
        <v>6</v>
      </c>
      <c r="N923" s="1" t="str">
        <f t="shared" ca="1" si="28"/>
        <v>Al dia</v>
      </c>
      <c r="O923" s="19">
        <v>45540</v>
      </c>
      <c r="P923" s="2"/>
      <c r="Q923" s="2">
        <f t="shared" si="29"/>
        <v>-45540</v>
      </c>
    </row>
    <row r="924" spans="3:17" x14ac:dyDescent="0.25">
      <c r="C924" s="13" t="s">
        <v>2182</v>
      </c>
      <c r="D924" s="13" t="s">
        <v>2183</v>
      </c>
      <c r="E924" s="10">
        <v>1136088487</v>
      </c>
      <c r="F924" t="s">
        <v>35</v>
      </c>
      <c r="G924" t="s">
        <v>2184</v>
      </c>
      <c r="H924" s="14">
        <v>2</v>
      </c>
      <c r="I924" s="10" t="s">
        <v>28</v>
      </c>
      <c r="J924" s="1">
        <v>45583</v>
      </c>
      <c r="K924" s="1">
        <v>45606</v>
      </c>
      <c r="L924" s="25">
        <f ca="1">CLIENTES[[#This Row],[Fecha Vencimiento]]-$J$6</f>
        <v>11</v>
      </c>
      <c r="N924" s="1" t="str">
        <f t="shared" ca="1" si="28"/>
        <v>Al dia</v>
      </c>
      <c r="O924" s="19">
        <v>45545</v>
      </c>
      <c r="P924" s="2"/>
      <c r="Q924" s="2">
        <f t="shared" si="29"/>
        <v>-45545</v>
      </c>
    </row>
    <row r="925" spans="3:17" x14ac:dyDescent="0.25">
      <c r="C925" s="13" t="s">
        <v>2182</v>
      </c>
      <c r="D925" s="13" t="s">
        <v>2183</v>
      </c>
      <c r="E925" s="10">
        <v>1136088487</v>
      </c>
      <c r="F925" t="s">
        <v>35</v>
      </c>
      <c r="G925" t="s">
        <v>2185</v>
      </c>
      <c r="H925" s="14">
        <v>1</v>
      </c>
      <c r="I925" s="10" t="s">
        <v>28</v>
      </c>
      <c r="J925" s="1">
        <v>45558</v>
      </c>
      <c r="K925" s="1">
        <v>45588</v>
      </c>
      <c r="L925" s="25">
        <f ca="1">CLIENTES[[#This Row],[Fecha Vencimiento]]-$J$6</f>
        <v>-7</v>
      </c>
      <c r="N925" s="1" t="str">
        <f t="shared" ca="1" si="28"/>
        <v>Vencido</v>
      </c>
      <c r="O925" s="19">
        <v>45558</v>
      </c>
      <c r="P925" s="2"/>
      <c r="Q925" s="2">
        <f t="shared" si="29"/>
        <v>-45558</v>
      </c>
    </row>
    <row r="926" spans="3:17" x14ac:dyDescent="0.25">
      <c r="C926" s="13" t="s">
        <v>2186</v>
      </c>
      <c r="D926" s="13" t="s">
        <v>1112</v>
      </c>
      <c r="E926" s="10" t="s">
        <v>1028</v>
      </c>
      <c r="F926" t="s">
        <v>35</v>
      </c>
      <c r="G926" t="s">
        <v>2187</v>
      </c>
      <c r="H926" s="14">
        <v>3</v>
      </c>
      <c r="I926" s="10" t="s">
        <v>28</v>
      </c>
      <c r="J926" s="1">
        <v>45566</v>
      </c>
      <c r="K926" s="1">
        <v>45594</v>
      </c>
      <c r="L926" s="25">
        <f ca="1">CLIENTES[[#This Row],[Fecha Vencimiento]]-$J$6</f>
        <v>-1</v>
      </c>
      <c r="N926" s="1" t="str">
        <f t="shared" ca="1" si="28"/>
        <v>Vencido</v>
      </c>
      <c r="O926" s="19"/>
      <c r="P926" s="2"/>
      <c r="Q926" s="2">
        <f t="shared" si="29"/>
        <v>0</v>
      </c>
    </row>
    <row r="927" spans="3:17" x14ac:dyDescent="0.25">
      <c r="C927" s="13" t="s">
        <v>2186</v>
      </c>
      <c r="D927" s="13" t="s">
        <v>2188</v>
      </c>
      <c r="E927" s="10">
        <v>1125088163</v>
      </c>
      <c r="F927" t="s">
        <v>35</v>
      </c>
      <c r="G927" t="s">
        <v>2189</v>
      </c>
      <c r="H927" s="14">
        <v>6</v>
      </c>
      <c r="I927" s="10" t="s">
        <v>28</v>
      </c>
      <c r="J927" s="1">
        <v>45583</v>
      </c>
      <c r="K927" s="1">
        <v>45616</v>
      </c>
      <c r="L927" s="25">
        <f ca="1">CLIENTES[[#This Row],[Fecha Vencimiento]]-$J$6</f>
        <v>21</v>
      </c>
      <c r="N927" s="1" t="str">
        <f t="shared" ca="1" si="28"/>
        <v>Al dia</v>
      </c>
      <c r="O927" s="19"/>
      <c r="P927" s="2"/>
      <c r="Q927" s="2">
        <f t="shared" si="29"/>
        <v>0</v>
      </c>
    </row>
    <row r="928" spans="3:17" x14ac:dyDescent="0.25">
      <c r="C928" s="13" t="s">
        <v>2186</v>
      </c>
      <c r="D928" s="13" t="s">
        <v>2190</v>
      </c>
      <c r="F928" t="s">
        <v>35</v>
      </c>
      <c r="G928" t="s">
        <v>2191</v>
      </c>
      <c r="I928" s="10" t="s">
        <v>28</v>
      </c>
      <c r="J928" s="1">
        <v>45470</v>
      </c>
      <c r="K928" s="1">
        <v>45500</v>
      </c>
      <c r="L928" s="25">
        <f ca="1">CLIENTES[[#This Row],[Fecha Vencimiento]]-$J$6</f>
        <v>-95</v>
      </c>
      <c r="N928" s="1" t="str">
        <f t="shared" ca="1" si="28"/>
        <v>Vencido</v>
      </c>
      <c r="O928" s="19"/>
      <c r="P928" s="2"/>
      <c r="Q928" s="2">
        <f t="shared" si="29"/>
        <v>0</v>
      </c>
    </row>
    <row r="929" spans="3:17" x14ac:dyDescent="0.25">
      <c r="C929" s="13" t="s">
        <v>2186</v>
      </c>
      <c r="D929" s="13" t="s">
        <v>2192</v>
      </c>
      <c r="F929" t="s">
        <v>35</v>
      </c>
      <c r="G929" t="s">
        <v>2193</v>
      </c>
      <c r="H929" s="14">
        <v>7</v>
      </c>
      <c r="I929" s="10" t="s">
        <v>28</v>
      </c>
      <c r="J929" s="1">
        <v>45575</v>
      </c>
      <c r="K929" s="1">
        <v>45642</v>
      </c>
      <c r="L929" s="25">
        <f ca="1">CLIENTES[[#This Row],[Fecha Vencimiento]]-$J$6</f>
        <v>47</v>
      </c>
      <c r="N929" s="1" t="str">
        <f t="shared" ca="1" si="28"/>
        <v>Al dia</v>
      </c>
      <c r="O929" s="19"/>
      <c r="P929" s="2"/>
      <c r="Q929" s="2">
        <f t="shared" si="29"/>
        <v>0</v>
      </c>
    </row>
    <row r="930" spans="3:17" x14ac:dyDescent="0.25">
      <c r="C930" s="13" t="s">
        <v>2194</v>
      </c>
      <c r="D930" s="13" t="s">
        <v>2195</v>
      </c>
      <c r="E930" s="10">
        <v>1167072747</v>
      </c>
      <c r="F930" t="s">
        <v>35</v>
      </c>
      <c r="G930" t="s">
        <v>2196</v>
      </c>
      <c r="H930" s="14">
        <v>3</v>
      </c>
      <c r="I930" s="10" t="s">
        <v>28</v>
      </c>
      <c r="J930" s="1">
        <v>45593</v>
      </c>
      <c r="K930" s="1">
        <v>45624</v>
      </c>
      <c r="L930" s="25">
        <f ca="1">CLIENTES[[#This Row],[Fecha Vencimiento]]-$J$6</f>
        <v>29</v>
      </c>
      <c r="N930" s="1" t="str">
        <f t="shared" ca="1" si="28"/>
        <v>Al dia</v>
      </c>
      <c r="O930" s="19"/>
      <c r="P930" s="2"/>
      <c r="Q930" s="2">
        <f t="shared" si="29"/>
        <v>0</v>
      </c>
    </row>
    <row r="931" spans="3:17" x14ac:dyDescent="0.25">
      <c r="C931" s="13" t="s">
        <v>2197</v>
      </c>
      <c r="D931" s="13" t="s">
        <v>2198</v>
      </c>
      <c r="E931" s="10">
        <v>1123082660</v>
      </c>
      <c r="F931" t="s">
        <v>35</v>
      </c>
      <c r="G931" t="s">
        <v>2199</v>
      </c>
      <c r="H931" s="14">
        <v>1</v>
      </c>
      <c r="I931" s="10" t="s">
        <v>28</v>
      </c>
      <c r="J931" s="1">
        <v>45537</v>
      </c>
      <c r="K931" s="1">
        <v>45567</v>
      </c>
      <c r="L931" s="25">
        <f ca="1">CLIENTES[[#This Row],[Fecha Vencimiento]]-$J$6</f>
        <v>-28</v>
      </c>
      <c r="N931" s="1" t="str">
        <f t="shared" ca="1" si="28"/>
        <v>Vencido</v>
      </c>
      <c r="O931" s="19">
        <v>45537</v>
      </c>
      <c r="P931" s="2"/>
      <c r="Q931" s="2">
        <f t="shared" si="29"/>
        <v>-45537</v>
      </c>
    </row>
    <row r="932" spans="3:17" x14ac:dyDescent="0.25">
      <c r="C932" s="13" t="s">
        <v>2197</v>
      </c>
      <c r="D932" s="13" t="s">
        <v>2200</v>
      </c>
      <c r="E932" s="10" t="s">
        <v>3117</v>
      </c>
      <c r="F932" t="s">
        <v>35</v>
      </c>
      <c r="G932" t="s">
        <v>2201</v>
      </c>
      <c r="H932" s="14">
        <v>2</v>
      </c>
      <c r="I932" s="10" t="s">
        <v>28</v>
      </c>
      <c r="J932" s="1">
        <v>45571</v>
      </c>
      <c r="K932" s="1">
        <v>45602</v>
      </c>
      <c r="L932" s="25">
        <f ca="1">CLIENTES[[#This Row],[Fecha Vencimiento]]-$J$6</f>
        <v>7</v>
      </c>
      <c r="N932" s="1" t="str">
        <f t="shared" ca="1" si="28"/>
        <v>Al dia</v>
      </c>
      <c r="O932" s="19">
        <v>45541</v>
      </c>
      <c r="P932" s="2"/>
      <c r="Q932" s="2">
        <f t="shared" si="29"/>
        <v>-45541</v>
      </c>
    </row>
    <row r="933" spans="3:17" x14ac:dyDescent="0.25">
      <c r="C933" s="13" t="s">
        <v>2197</v>
      </c>
      <c r="D933" s="13" t="s">
        <v>2200</v>
      </c>
      <c r="E933" s="10" t="s">
        <v>3117</v>
      </c>
      <c r="F933" t="s">
        <v>35</v>
      </c>
      <c r="G933" t="s">
        <v>2202</v>
      </c>
      <c r="H933" s="14">
        <v>1</v>
      </c>
      <c r="I933" s="10" t="s">
        <v>28</v>
      </c>
      <c r="J933" s="1">
        <v>45541</v>
      </c>
      <c r="K933" s="1">
        <v>45571</v>
      </c>
      <c r="L933" s="25">
        <f ca="1">CLIENTES[[#This Row],[Fecha Vencimiento]]-$J$6</f>
        <v>-24</v>
      </c>
      <c r="N933" s="1" t="str">
        <f t="shared" ca="1" si="28"/>
        <v>Vencido</v>
      </c>
      <c r="O933" s="19">
        <v>45541</v>
      </c>
      <c r="P933" s="2"/>
      <c r="Q933" s="2">
        <f t="shared" si="29"/>
        <v>-45541</v>
      </c>
    </row>
    <row r="934" spans="3:17" x14ac:dyDescent="0.25">
      <c r="C934" s="13" t="s">
        <v>2203</v>
      </c>
      <c r="D934" s="13" t="s">
        <v>2204</v>
      </c>
      <c r="E934" s="10">
        <v>1160415358</v>
      </c>
      <c r="F934" t="s">
        <v>35</v>
      </c>
      <c r="G934" t="s">
        <v>2205</v>
      </c>
      <c r="H934" s="14">
        <v>2</v>
      </c>
      <c r="I934" s="10" t="s">
        <v>28</v>
      </c>
      <c r="J934" s="1">
        <v>45592</v>
      </c>
      <c r="K934" s="1">
        <v>45623</v>
      </c>
      <c r="L934" s="25">
        <f ca="1">CLIENTES[[#This Row],[Fecha Vencimiento]]-$J$6</f>
        <v>28</v>
      </c>
      <c r="N934" s="1" t="str">
        <f t="shared" ca="1" si="28"/>
        <v>Al dia</v>
      </c>
      <c r="O934" s="19">
        <v>45562</v>
      </c>
      <c r="P934" s="2"/>
      <c r="Q934" s="2">
        <f t="shared" si="29"/>
        <v>-45562</v>
      </c>
    </row>
    <row r="935" spans="3:17" x14ac:dyDescent="0.25">
      <c r="C935" s="13" t="s">
        <v>2206</v>
      </c>
      <c r="D935" s="13" t="s">
        <v>2207</v>
      </c>
      <c r="E935" s="10" t="s">
        <v>2931</v>
      </c>
      <c r="F935" t="s">
        <v>35</v>
      </c>
      <c r="G935" t="s">
        <v>2208</v>
      </c>
      <c r="H935" s="14">
        <v>4</v>
      </c>
      <c r="I935" s="10" t="s">
        <v>28</v>
      </c>
      <c r="J935" s="1">
        <v>45593</v>
      </c>
      <c r="K935" s="1">
        <v>45609</v>
      </c>
      <c r="L935" s="25">
        <f ca="1">CLIENTES[[#This Row],[Fecha Vencimiento]]-$J$6</f>
        <v>14</v>
      </c>
      <c r="N935" s="1" t="str">
        <f t="shared" ca="1" si="28"/>
        <v>Al dia</v>
      </c>
      <c r="O935" s="19"/>
      <c r="P935" s="2"/>
      <c r="Q935" s="2">
        <f t="shared" si="29"/>
        <v>0</v>
      </c>
    </row>
    <row r="936" spans="3:17" x14ac:dyDescent="0.25">
      <c r="C936" s="13" t="s">
        <v>2209</v>
      </c>
      <c r="D936" s="13" t="s">
        <v>2210</v>
      </c>
      <c r="E936" s="10">
        <v>1161196620</v>
      </c>
      <c r="F936" t="s">
        <v>35</v>
      </c>
      <c r="G936" t="s">
        <v>2211</v>
      </c>
      <c r="H936" s="14">
        <v>2</v>
      </c>
      <c r="I936" s="10" t="s">
        <v>28</v>
      </c>
      <c r="J936" s="1">
        <v>45586</v>
      </c>
      <c r="K936" s="1">
        <v>45617</v>
      </c>
      <c r="L936" s="25">
        <f ca="1">CLIENTES[[#This Row],[Fecha Vencimiento]]-$J$6</f>
        <v>22</v>
      </c>
      <c r="N936" s="1" t="str">
        <f t="shared" ca="1" si="28"/>
        <v>Al dia</v>
      </c>
      <c r="O936" s="19">
        <v>45556</v>
      </c>
      <c r="P936" s="2"/>
      <c r="Q936" s="2">
        <f t="shared" si="29"/>
        <v>-45556</v>
      </c>
    </row>
    <row r="937" spans="3:17" x14ac:dyDescent="0.25">
      <c r="C937" s="13" t="s">
        <v>2212</v>
      </c>
      <c r="D937" s="13" t="s">
        <v>2213</v>
      </c>
      <c r="E937" s="10">
        <v>1163573979</v>
      </c>
      <c r="F937" t="s">
        <v>35</v>
      </c>
      <c r="G937" t="s">
        <v>2214</v>
      </c>
      <c r="H937" s="14">
        <v>5</v>
      </c>
      <c r="I937" s="10" t="s">
        <v>28</v>
      </c>
      <c r="J937" s="1">
        <v>45573</v>
      </c>
      <c r="K937" s="1">
        <v>45599</v>
      </c>
      <c r="L937" s="25">
        <f ca="1">CLIENTES[[#This Row],[Fecha Vencimiento]]-$J$6</f>
        <v>4</v>
      </c>
      <c r="N937" s="1" t="str">
        <f t="shared" ca="1" si="28"/>
        <v>Al dia</v>
      </c>
      <c r="O937" s="19"/>
      <c r="P937" s="2"/>
      <c r="Q937" s="2">
        <f t="shared" si="29"/>
        <v>0</v>
      </c>
    </row>
    <row r="938" spans="3:17" x14ac:dyDescent="0.25">
      <c r="C938" s="13" t="s">
        <v>2215</v>
      </c>
      <c r="D938" s="13" t="s">
        <v>2216</v>
      </c>
      <c r="F938" t="s">
        <v>35</v>
      </c>
      <c r="G938" t="s">
        <v>2217</v>
      </c>
      <c r="I938" s="10" t="s">
        <v>28</v>
      </c>
      <c r="J938" s="1">
        <v>45474</v>
      </c>
      <c r="K938" s="1">
        <v>45501</v>
      </c>
      <c r="L938" s="25">
        <f ca="1">CLIENTES[[#This Row],[Fecha Vencimiento]]-$J$6</f>
        <v>-94</v>
      </c>
      <c r="N938" s="1" t="str">
        <f t="shared" ca="1" si="28"/>
        <v>Vencido</v>
      </c>
      <c r="O938" s="19"/>
      <c r="P938" s="2"/>
      <c r="Q938" s="2">
        <f t="shared" si="29"/>
        <v>0</v>
      </c>
    </row>
    <row r="939" spans="3:17" x14ac:dyDescent="0.25">
      <c r="C939" s="13" t="s">
        <v>2218</v>
      </c>
      <c r="D939" s="13" t="s">
        <v>2219</v>
      </c>
      <c r="E939" s="10">
        <v>1138168210</v>
      </c>
      <c r="F939" t="s">
        <v>159</v>
      </c>
      <c r="G939" t="s">
        <v>2220</v>
      </c>
      <c r="H939" s="14">
        <v>3</v>
      </c>
      <c r="I939" s="10" t="s">
        <v>183</v>
      </c>
      <c r="J939" s="1">
        <v>45568</v>
      </c>
      <c r="K939" s="1">
        <v>45598</v>
      </c>
      <c r="L939" s="25">
        <f ca="1">CLIENTES[[#This Row],[Fecha Vencimiento]]-$J$6</f>
        <v>3</v>
      </c>
      <c r="N939" s="1" t="str">
        <f t="shared" ca="1" si="28"/>
        <v>Por vencer</v>
      </c>
      <c r="O939" s="19">
        <v>45506</v>
      </c>
      <c r="P939" s="2"/>
      <c r="Q939" s="2">
        <f t="shared" si="29"/>
        <v>-45506</v>
      </c>
    </row>
    <row r="940" spans="3:17" x14ac:dyDescent="0.25">
      <c r="C940" s="13" t="s">
        <v>2218</v>
      </c>
      <c r="D940" s="13" t="s">
        <v>2221</v>
      </c>
      <c r="F940" t="s">
        <v>35</v>
      </c>
      <c r="G940" t="s">
        <v>2222</v>
      </c>
      <c r="H940" s="14">
        <v>1</v>
      </c>
      <c r="I940" s="10" t="s">
        <v>28</v>
      </c>
      <c r="J940" s="1">
        <v>45574</v>
      </c>
      <c r="K940" s="1">
        <v>45600</v>
      </c>
      <c r="L940" s="25">
        <f ca="1">CLIENTES[[#This Row],[Fecha Vencimiento]]-$J$6</f>
        <v>5</v>
      </c>
      <c r="N940" s="1" t="str">
        <f t="shared" ca="1" si="28"/>
        <v>Al dia</v>
      </c>
      <c r="O940" s="19"/>
      <c r="P940" s="2"/>
      <c r="Q940" s="2">
        <f t="shared" si="29"/>
        <v>0</v>
      </c>
    </row>
    <row r="941" spans="3:17" x14ac:dyDescent="0.25">
      <c r="C941" s="13" t="s">
        <v>2223</v>
      </c>
      <c r="D941" s="13" t="s">
        <v>2224</v>
      </c>
      <c r="E941" s="10">
        <v>1165968290</v>
      </c>
      <c r="F941" t="s">
        <v>35</v>
      </c>
      <c r="G941" t="s">
        <v>2225</v>
      </c>
      <c r="H941" s="14">
        <v>1</v>
      </c>
      <c r="I941" s="10" t="s">
        <v>28</v>
      </c>
      <c r="J941" s="1">
        <v>45523</v>
      </c>
      <c r="K941" s="1">
        <v>45554</v>
      </c>
      <c r="L941" s="25">
        <f ca="1">CLIENTES[[#This Row],[Fecha Vencimiento]]-$J$6</f>
        <v>-41</v>
      </c>
      <c r="N941" s="1" t="str">
        <f t="shared" ca="1" si="28"/>
        <v>Vencido</v>
      </c>
      <c r="O941" s="19">
        <v>45523</v>
      </c>
      <c r="P941" s="2"/>
      <c r="Q941" s="2">
        <f t="shared" si="29"/>
        <v>-45523</v>
      </c>
    </row>
    <row r="942" spans="3:17" x14ac:dyDescent="0.25">
      <c r="C942" s="13" t="s">
        <v>2226</v>
      </c>
      <c r="D942" s="13" t="s">
        <v>2227</v>
      </c>
      <c r="F942" t="s">
        <v>35</v>
      </c>
      <c r="G942" t="s">
        <v>2228</v>
      </c>
      <c r="I942" s="10" t="s">
        <v>28</v>
      </c>
      <c r="J942" s="1">
        <v>45449</v>
      </c>
      <c r="K942" s="1">
        <v>45479</v>
      </c>
      <c r="L942" s="25">
        <f ca="1">CLIENTES[[#This Row],[Fecha Vencimiento]]-$J$6</f>
        <v>-116</v>
      </c>
      <c r="N942" s="1" t="str">
        <f t="shared" ca="1" si="28"/>
        <v>Vencido</v>
      </c>
      <c r="O942" s="19"/>
      <c r="P942" s="2"/>
      <c r="Q942" s="2">
        <f t="shared" si="29"/>
        <v>0</v>
      </c>
    </row>
    <row r="943" spans="3:17" x14ac:dyDescent="0.25">
      <c r="C943" s="13" t="s">
        <v>2229</v>
      </c>
      <c r="D943" s="13" t="s">
        <v>2230</v>
      </c>
      <c r="E943" s="10">
        <v>1161693158</v>
      </c>
      <c r="F943" t="s">
        <v>35</v>
      </c>
      <c r="G943" t="s">
        <v>2231</v>
      </c>
      <c r="H943" s="14">
        <v>1</v>
      </c>
      <c r="I943" s="10" t="s">
        <v>28</v>
      </c>
      <c r="J943" s="1">
        <v>45559</v>
      </c>
      <c r="K943" s="1">
        <v>45589</v>
      </c>
      <c r="L943" s="25">
        <f ca="1">CLIENTES[[#This Row],[Fecha Vencimiento]]-$J$6</f>
        <v>-6</v>
      </c>
      <c r="N943" s="1" t="str">
        <f t="shared" ca="1" si="28"/>
        <v>Vencido</v>
      </c>
      <c r="O943" s="19">
        <v>45559</v>
      </c>
      <c r="P943" s="2"/>
      <c r="Q943" s="2">
        <f t="shared" si="29"/>
        <v>-45559</v>
      </c>
    </row>
    <row r="944" spans="3:17" x14ac:dyDescent="0.25">
      <c r="C944" s="13" t="s">
        <v>2232</v>
      </c>
      <c r="D944" s="13" t="s">
        <v>2233</v>
      </c>
      <c r="E944" s="10" t="s">
        <v>3129</v>
      </c>
      <c r="F944" t="s">
        <v>35</v>
      </c>
      <c r="G944" t="s">
        <v>2234</v>
      </c>
      <c r="H944" s="14">
        <v>4</v>
      </c>
      <c r="I944" s="10" t="s">
        <v>28</v>
      </c>
      <c r="J944" s="1">
        <v>45574</v>
      </c>
      <c r="K944" s="1">
        <v>45601</v>
      </c>
      <c r="L944" s="25">
        <f ca="1">CLIENTES[[#This Row],[Fecha Vencimiento]]-$J$6</f>
        <v>6</v>
      </c>
      <c r="N944" s="1" t="str">
        <f t="shared" ca="1" si="28"/>
        <v>Al dia</v>
      </c>
      <c r="O944" s="19"/>
      <c r="P944" s="2"/>
      <c r="Q944" s="2">
        <f t="shared" si="29"/>
        <v>0</v>
      </c>
    </row>
    <row r="945" spans="3:17" x14ac:dyDescent="0.25">
      <c r="C945" s="13" t="s">
        <v>2235</v>
      </c>
      <c r="D945" s="13" t="s">
        <v>2236</v>
      </c>
      <c r="E945" s="10">
        <v>1150094455</v>
      </c>
      <c r="F945" t="s">
        <v>35</v>
      </c>
      <c r="G945" t="s">
        <v>2237</v>
      </c>
      <c r="H945" s="14">
        <v>2</v>
      </c>
      <c r="I945" s="10" t="s">
        <v>28</v>
      </c>
      <c r="J945" s="1">
        <v>45573</v>
      </c>
      <c r="K945" s="1">
        <v>45607</v>
      </c>
      <c r="L945" s="25">
        <f ca="1">CLIENTES[[#This Row],[Fecha Vencimiento]]-$J$6</f>
        <v>12</v>
      </c>
      <c r="N945" s="1" t="str">
        <f t="shared" ca="1" si="28"/>
        <v>Al dia</v>
      </c>
      <c r="O945" s="19">
        <v>45573</v>
      </c>
      <c r="P945" s="2"/>
      <c r="Q945" s="2">
        <f t="shared" si="29"/>
        <v>-45573</v>
      </c>
    </row>
    <row r="946" spans="3:17" x14ac:dyDescent="0.25">
      <c r="C946" s="13" t="s">
        <v>2238</v>
      </c>
      <c r="D946" s="13" t="s">
        <v>2239</v>
      </c>
      <c r="F946" t="s">
        <v>35</v>
      </c>
      <c r="G946" t="s">
        <v>2240</v>
      </c>
      <c r="I946" s="10" t="s">
        <v>28</v>
      </c>
      <c r="J946" s="1">
        <v>45457</v>
      </c>
      <c r="K946" s="1">
        <v>45483</v>
      </c>
      <c r="L946" s="25">
        <f ca="1">CLIENTES[[#This Row],[Fecha Vencimiento]]-$J$6</f>
        <v>-112</v>
      </c>
      <c r="N946" s="1" t="str">
        <f t="shared" ca="1" si="28"/>
        <v>Vencido</v>
      </c>
      <c r="O946" s="19"/>
      <c r="P946" s="2"/>
      <c r="Q946" s="2">
        <f t="shared" si="29"/>
        <v>0</v>
      </c>
    </row>
    <row r="947" spans="3:17" x14ac:dyDescent="0.25">
      <c r="C947" s="13" t="s">
        <v>2238</v>
      </c>
      <c r="D947" s="13" t="s">
        <v>2241</v>
      </c>
      <c r="E947" s="10">
        <v>1136330382</v>
      </c>
      <c r="F947" t="s">
        <v>35</v>
      </c>
      <c r="G947" t="s">
        <v>2242</v>
      </c>
      <c r="H947" s="14">
        <v>1</v>
      </c>
      <c r="I947" s="10" t="s">
        <v>28</v>
      </c>
      <c r="J947" s="1">
        <v>45559</v>
      </c>
      <c r="K947" s="1">
        <v>45589</v>
      </c>
      <c r="L947" s="25">
        <f ca="1">CLIENTES[[#This Row],[Fecha Vencimiento]]-$J$6</f>
        <v>-6</v>
      </c>
      <c r="N947" s="1" t="str">
        <f t="shared" ref="N947:N1010" ca="1" si="30">IF(L947&lt;0,"Vencido",IF(L947=0,"Vence hoy",IF(L947&lt;4,"Por vencer","Al dia")))</f>
        <v>Vencido</v>
      </c>
      <c r="O947" s="19">
        <v>45559</v>
      </c>
      <c r="P947" s="2"/>
      <c r="Q947" s="2">
        <f t="shared" si="29"/>
        <v>-45559</v>
      </c>
    </row>
    <row r="948" spans="3:17" x14ac:dyDescent="0.25">
      <c r="C948" s="13" t="s">
        <v>2243</v>
      </c>
      <c r="D948" s="13" t="s">
        <v>2244</v>
      </c>
      <c r="E948" s="10">
        <v>1140485185</v>
      </c>
      <c r="F948" t="s">
        <v>35</v>
      </c>
      <c r="G948" t="s">
        <v>2245</v>
      </c>
      <c r="H948" s="14">
        <v>3</v>
      </c>
      <c r="I948" s="10" t="s">
        <v>28</v>
      </c>
      <c r="J948" s="1">
        <v>45583</v>
      </c>
      <c r="K948" s="1">
        <v>45614</v>
      </c>
      <c r="L948" s="25">
        <f ca="1">CLIENTES[[#This Row],[Fecha Vencimiento]]-$J$6</f>
        <v>19</v>
      </c>
      <c r="N948" s="1" t="str">
        <f t="shared" ca="1" si="30"/>
        <v>Al dia</v>
      </c>
      <c r="O948" s="19"/>
      <c r="P948" s="2"/>
      <c r="Q948" s="2">
        <f t="shared" si="29"/>
        <v>0</v>
      </c>
    </row>
    <row r="949" spans="3:17" x14ac:dyDescent="0.25">
      <c r="C949" s="13" t="s">
        <v>2246</v>
      </c>
      <c r="D949" s="13" t="s">
        <v>2247</v>
      </c>
      <c r="F949" t="s">
        <v>35</v>
      </c>
      <c r="G949" t="s">
        <v>2248</v>
      </c>
      <c r="I949" s="10" t="s">
        <v>28</v>
      </c>
      <c r="J949" s="1">
        <v>45448</v>
      </c>
      <c r="K949" s="1">
        <v>45470</v>
      </c>
      <c r="L949" s="25">
        <f ca="1">CLIENTES[[#This Row],[Fecha Vencimiento]]-$J$6</f>
        <v>-125</v>
      </c>
      <c r="N949" s="1" t="str">
        <f t="shared" ca="1" si="30"/>
        <v>Vencido</v>
      </c>
      <c r="O949" s="19"/>
      <c r="P949" s="2"/>
      <c r="Q949" s="2">
        <f t="shared" si="29"/>
        <v>0</v>
      </c>
    </row>
    <row r="950" spans="3:17" x14ac:dyDescent="0.25">
      <c r="C950" s="13" t="s">
        <v>2249</v>
      </c>
      <c r="D950" s="13" t="s">
        <v>2250</v>
      </c>
      <c r="F950" t="s">
        <v>35</v>
      </c>
      <c r="G950" t="s">
        <v>2251</v>
      </c>
      <c r="H950" s="14">
        <v>6</v>
      </c>
      <c r="I950" s="10" t="s">
        <v>28</v>
      </c>
      <c r="J950" s="1">
        <v>45560</v>
      </c>
      <c r="K950" s="1">
        <v>45612</v>
      </c>
      <c r="L950" s="25">
        <f ca="1">CLIENTES[[#This Row],[Fecha Vencimiento]]-$J$6</f>
        <v>17</v>
      </c>
      <c r="N950" s="1" t="str">
        <f t="shared" ca="1" si="30"/>
        <v>Al dia</v>
      </c>
      <c r="O950" s="19"/>
      <c r="P950" s="2"/>
      <c r="Q950" s="2">
        <f t="shared" si="29"/>
        <v>0</v>
      </c>
    </row>
    <row r="951" spans="3:17" x14ac:dyDescent="0.25">
      <c r="C951" s="13" t="s">
        <v>2252</v>
      </c>
      <c r="D951" s="13" t="s">
        <v>2253</v>
      </c>
      <c r="E951" s="10" t="s">
        <v>3125</v>
      </c>
      <c r="F951" t="s">
        <v>159</v>
      </c>
      <c r="G951" t="s">
        <v>2254</v>
      </c>
      <c r="H951" s="14">
        <v>3</v>
      </c>
      <c r="I951" s="10" t="s">
        <v>28</v>
      </c>
      <c r="J951" s="1">
        <v>45509</v>
      </c>
      <c r="K951" s="1">
        <v>45540</v>
      </c>
      <c r="L951" s="25">
        <f ca="1">CLIENTES[[#This Row],[Fecha Vencimiento]]-$J$6</f>
        <v>-55</v>
      </c>
      <c r="N951" s="1" t="str">
        <f t="shared" ca="1" si="30"/>
        <v>Vencido</v>
      </c>
      <c r="O951" s="19"/>
      <c r="P951" s="2"/>
      <c r="Q951" s="2">
        <f t="shared" si="29"/>
        <v>0</v>
      </c>
    </row>
    <row r="952" spans="3:17" x14ac:dyDescent="0.25">
      <c r="C952" s="13" t="s">
        <v>2255</v>
      </c>
      <c r="D952" s="13" t="s">
        <v>2256</v>
      </c>
      <c r="E952" s="10">
        <v>1124983286</v>
      </c>
      <c r="F952" t="s">
        <v>35</v>
      </c>
      <c r="G952" t="s">
        <v>2257</v>
      </c>
      <c r="H952" s="14">
        <v>4</v>
      </c>
      <c r="I952" s="10" t="s">
        <v>28</v>
      </c>
      <c r="J952" s="1">
        <v>45593</v>
      </c>
      <c r="K952" s="1">
        <v>45613</v>
      </c>
      <c r="L952" s="25">
        <f ca="1">CLIENTES[[#This Row],[Fecha Vencimiento]]-$J$6</f>
        <v>18</v>
      </c>
      <c r="N952" s="1" t="str">
        <f t="shared" ca="1" si="30"/>
        <v>Al dia</v>
      </c>
      <c r="O952" s="19"/>
      <c r="P952" s="2"/>
      <c r="Q952" s="2">
        <f t="shared" si="29"/>
        <v>0</v>
      </c>
    </row>
    <row r="953" spans="3:17" x14ac:dyDescent="0.25">
      <c r="C953" s="13" t="s">
        <v>2258</v>
      </c>
      <c r="D953" s="13" t="s">
        <v>2190</v>
      </c>
      <c r="F953" t="s">
        <v>35</v>
      </c>
      <c r="G953" t="s">
        <v>2259</v>
      </c>
      <c r="I953" s="10" t="s">
        <v>28</v>
      </c>
      <c r="J953" s="1">
        <v>45511</v>
      </c>
      <c r="K953" s="1">
        <v>45542</v>
      </c>
      <c r="L953" s="25">
        <f ca="1">CLIENTES[[#This Row],[Fecha Vencimiento]]-$J$6</f>
        <v>-53</v>
      </c>
      <c r="N953" s="1" t="str">
        <f t="shared" ca="1" si="30"/>
        <v>Vencido</v>
      </c>
      <c r="O953" s="19"/>
      <c r="P953" s="2"/>
      <c r="Q953" s="2">
        <f t="shared" si="29"/>
        <v>0</v>
      </c>
    </row>
    <row r="954" spans="3:17" x14ac:dyDescent="0.25">
      <c r="C954" s="13" t="s">
        <v>2260</v>
      </c>
      <c r="D954" s="13" t="s">
        <v>2261</v>
      </c>
      <c r="F954" t="s">
        <v>35</v>
      </c>
      <c r="G954" t="s">
        <v>2262</v>
      </c>
      <c r="I954" s="10" t="s">
        <v>28</v>
      </c>
      <c r="J954" s="1">
        <v>45447</v>
      </c>
      <c r="K954" s="1">
        <v>45477</v>
      </c>
      <c r="L954" s="25">
        <f ca="1">CLIENTES[[#This Row],[Fecha Vencimiento]]-$J$6</f>
        <v>-118</v>
      </c>
      <c r="N954" s="1" t="str">
        <f t="shared" ca="1" si="30"/>
        <v>Vencido</v>
      </c>
      <c r="O954" s="19"/>
      <c r="P954" s="2"/>
      <c r="Q954" s="2">
        <f t="shared" si="29"/>
        <v>0</v>
      </c>
    </row>
    <row r="955" spans="3:17" x14ac:dyDescent="0.25">
      <c r="C955" s="13" t="s">
        <v>2260</v>
      </c>
      <c r="D955" s="13" t="s">
        <v>2263</v>
      </c>
      <c r="E955" s="10">
        <v>1158090373</v>
      </c>
      <c r="F955" t="s">
        <v>35</v>
      </c>
      <c r="G955" t="s">
        <v>2264</v>
      </c>
      <c r="H955" s="14">
        <v>2</v>
      </c>
      <c r="I955" s="10" t="s">
        <v>28</v>
      </c>
      <c r="J955" s="1">
        <v>45570</v>
      </c>
      <c r="K955" s="1">
        <v>45602</v>
      </c>
      <c r="L955" s="25">
        <f ca="1">CLIENTES[[#This Row],[Fecha Vencimiento]]-$J$6</f>
        <v>7</v>
      </c>
      <c r="N955" s="1" t="str">
        <f t="shared" ca="1" si="30"/>
        <v>Al dia</v>
      </c>
      <c r="O955" s="19"/>
      <c r="P955" s="2"/>
      <c r="Q955" s="2">
        <f t="shared" si="29"/>
        <v>0</v>
      </c>
    </row>
    <row r="956" spans="3:17" x14ac:dyDescent="0.25">
      <c r="C956" s="13" t="s">
        <v>2265</v>
      </c>
      <c r="D956" s="13" t="s">
        <v>2266</v>
      </c>
      <c r="E956" s="10" t="s">
        <v>3130</v>
      </c>
      <c r="F956" t="s">
        <v>35</v>
      </c>
      <c r="G956" t="s">
        <v>2267</v>
      </c>
      <c r="H956" s="14">
        <v>1</v>
      </c>
      <c r="I956" s="10" t="s">
        <v>28</v>
      </c>
      <c r="J956" s="1">
        <v>45559</v>
      </c>
      <c r="K956" s="1">
        <v>45589</v>
      </c>
      <c r="L956" s="25">
        <f ca="1">CLIENTES[[#This Row],[Fecha Vencimiento]]-$J$6</f>
        <v>-6</v>
      </c>
      <c r="N956" s="1" t="str">
        <f t="shared" ca="1" si="30"/>
        <v>Vencido</v>
      </c>
      <c r="O956" s="19">
        <v>45559</v>
      </c>
      <c r="P956" s="2"/>
      <c r="Q956" s="2">
        <f t="shared" si="29"/>
        <v>-45559</v>
      </c>
    </row>
    <row r="957" spans="3:17" x14ac:dyDescent="0.25">
      <c r="C957" s="13" t="s">
        <v>2268</v>
      </c>
      <c r="D957" s="13" t="s">
        <v>2269</v>
      </c>
      <c r="F957" t="s">
        <v>35</v>
      </c>
      <c r="G957" t="s">
        <v>2270</v>
      </c>
      <c r="I957" s="10" t="s">
        <v>28</v>
      </c>
      <c r="J957" s="1">
        <v>45491</v>
      </c>
      <c r="K957" s="1">
        <v>45522</v>
      </c>
      <c r="L957" s="25">
        <f ca="1">CLIENTES[[#This Row],[Fecha Vencimiento]]-$J$6</f>
        <v>-73</v>
      </c>
      <c r="N957" s="1" t="str">
        <f t="shared" ca="1" si="30"/>
        <v>Vencido</v>
      </c>
      <c r="O957" s="19"/>
      <c r="P957" s="2"/>
      <c r="Q957" s="2">
        <f t="shared" si="29"/>
        <v>0</v>
      </c>
    </row>
    <row r="958" spans="3:17" x14ac:dyDescent="0.25">
      <c r="C958" s="13" t="s">
        <v>2271</v>
      </c>
      <c r="D958" s="13" t="s">
        <v>2272</v>
      </c>
      <c r="E958" s="10" t="s">
        <v>3131</v>
      </c>
      <c r="F958" t="s">
        <v>35</v>
      </c>
      <c r="G958" t="s">
        <v>2273</v>
      </c>
      <c r="I958" s="10" t="s">
        <v>28</v>
      </c>
      <c r="J958" s="1">
        <v>45511</v>
      </c>
      <c r="K958" s="1">
        <v>45534</v>
      </c>
      <c r="L958" s="25">
        <f ca="1">CLIENTES[[#This Row],[Fecha Vencimiento]]-$J$6</f>
        <v>-61</v>
      </c>
      <c r="N958" s="1" t="str">
        <f t="shared" ca="1" si="30"/>
        <v>Vencido</v>
      </c>
      <c r="O958" s="19"/>
      <c r="P958" s="2"/>
      <c r="Q958" s="2">
        <f t="shared" si="29"/>
        <v>0</v>
      </c>
    </row>
    <row r="959" spans="3:17" x14ac:dyDescent="0.25">
      <c r="C959" s="13" t="s">
        <v>2274</v>
      </c>
      <c r="D959" s="13" t="s">
        <v>2275</v>
      </c>
      <c r="E959" s="10">
        <v>1130356265</v>
      </c>
      <c r="F959" t="s">
        <v>35</v>
      </c>
      <c r="G959" t="s">
        <v>2276</v>
      </c>
      <c r="H959" s="14">
        <v>3</v>
      </c>
      <c r="I959" s="10" t="s">
        <v>28</v>
      </c>
      <c r="J959" s="1">
        <v>45590</v>
      </c>
      <c r="K959" s="1">
        <v>45590</v>
      </c>
      <c r="L959" s="25">
        <f ca="1">CLIENTES[[#This Row],[Fecha Vencimiento]]-$J$6</f>
        <v>-5</v>
      </c>
      <c r="N959" s="1" t="str">
        <f t="shared" ca="1" si="30"/>
        <v>Vencido</v>
      </c>
      <c r="O959" s="19"/>
      <c r="P959" s="2"/>
      <c r="Q959" s="2">
        <f t="shared" si="29"/>
        <v>0</v>
      </c>
    </row>
    <row r="960" spans="3:17" x14ac:dyDescent="0.25">
      <c r="C960" s="13" t="s">
        <v>2274</v>
      </c>
      <c r="D960" s="13" t="s">
        <v>2277</v>
      </c>
      <c r="E960" s="10">
        <v>1163733877</v>
      </c>
      <c r="F960" t="s">
        <v>35</v>
      </c>
      <c r="G960" t="s">
        <v>2278</v>
      </c>
      <c r="H960" s="14">
        <v>2</v>
      </c>
      <c r="I960" s="10" t="s">
        <v>28</v>
      </c>
      <c r="J960" s="1">
        <v>45574</v>
      </c>
      <c r="K960" s="1">
        <v>45607</v>
      </c>
      <c r="L960" s="25">
        <f ca="1">CLIENTES[[#This Row],[Fecha Vencimiento]]-$J$6</f>
        <v>12</v>
      </c>
      <c r="N960" s="1" t="str">
        <f t="shared" ca="1" si="30"/>
        <v>Al dia</v>
      </c>
      <c r="O960" s="19">
        <v>45546</v>
      </c>
      <c r="P960" s="2"/>
      <c r="Q960" s="2">
        <f t="shared" si="29"/>
        <v>-45546</v>
      </c>
    </row>
    <row r="961" spans="3:17" x14ac:dyDescent="0.25">
      <c r="C961" s="13" t="s">
        <v>2274</v>
      </c>
      <c r="D961" s="13" t="s">
        <v>2279</v>
      </c>
      <c r="E961" s="10">
        <v>1161373513</v>
      </c>
      <c r="F961" t="s">
        <v>35</v>
      </c>
      <c r="G961" t="s">
        <v>2280</v>
      </c>
      <c r="H961" s="14">
        <v>1</v>
      </c>
      <c r="I961" s="10" t="s">
        <v>28</v>
      </c>
      <c r="J961" s="1">
        <v>45545</v>
      </c>
      <c r="K961" s="1">
        <v>45575</v>
      </c>
      <c r="L961" s="25">
        <f ca="1">CLIENTES[[#This Row],[Fecha Vencimiento]]-$J$6</f>
        <v>-20</v>
      </c>
      <c r="N961" s="1" t="str">
        <f t="shared" ca="1" si="30"/>
        <v>Vencido</v>
      </c>
      <c r="O961" s="19"/>
      <c r="P961" s="2"/>
      <c r="Q961" s="2">
        <f t="shared" si="29"/>
        <v>0</v>
      </c>
    </row>
    <row r="962" spans="3:17" x14ac:dyDescent="0.25">
      <c r="C962" s="13" t="s">
        <v>2281</v>
      </c>
      <c r="D962" s="13" t="s">
        <v>1129</v>
      </c>
      <c r="F962" t="s">
        <v>35</v>
      </c>
      <c r="G962" t="s">
        <v>2282</v>
      </c>
      <c r="H962" s="14">
        <v>3</v>
      </c>
      <c r="I962" s="10" t="s">
        <v>28</v>
      </c>
      <c r="J962" s="1">
        <v>45574</v>
      </c>
      <c r="K962" s="1">
        <v>45604</v>
      </c>
      <c r="L962" s="25">
        <f ca="1">CLIENTES[[#This Row],[Fecha Vencimiento]]-$J$6</f>
        <v>9</v>
      </c>
      <c r="N962" s="1" t="str">
        <f t="shared" ca="1" si="30"/>
        <v>Al dia</v>
      </c>
      <c r="O962" s="19"/>
      <c r="P962" s="2"/>
      <c r="Q962" s="2">
        <f t="shared" si="29"/>
        <v>0</v>
      </c>
    </row>
    <row r="963" spans="3:17" x14ac:dyDescent="0.25">
      <c r="C963" s="13" t="s">
        <v>2281</v>
      </c>
      <c r="D963" s="13" t="s">
        <v>2283</v>
      </c>
      <c r="E963" s="10">
        <v>1122493303</v>
      </c>
      <c r="F963" t="s">
        <v>35</v>
      </c>
      <c r="G963" t="s">
        <v>2284</v>
      </c>
      <c r="H963" s="14">
        <v>5</v>
      </c>
      <c r="I963" s="10" t="s">
        <v>28</v>
      </c>
      <c r="J963" s="1">
        <v>45591</v>
      </c>
      <c r="K963" s="1">
        <v>45621</v>
      </c>
      <c r="L963" s="25">
        <f ca="1">CLIENTES[[#This Row],[Fecha Vencimiento]]-$J$6</f>
        <v>26</v>
      </c>
      <c r="N963" s="1" t="str">
        <f t="shared" ca="1" si="30"/>
        <v>Al dia</v>
      </c>
      <c r="O963" s="19"/>
      <c r="P963" s="2"/>
      <c r="Q963" s="2">
        <f t="shared" si="29"/>
        <v>0</v>
      </c>
    </row>
    <row r="964" spans="3:17" x14ac:dyDescent="0.25">
      <c r="C964" s="13" t="s">
        <v>2281</v>
      </c>
      <c r="D964" s="13" t="s">
        <v>2081</v>
      </c>
      <c r="F964" t="s">
        <v>35</v>
      </c>
      <c r="G964" t="s">
        <v>2285</v>
      </c>
      <c r="I964" s="10" t="s">
        <v>28</v>
      </c>
      <c r="J964" s="1">
        <v>45457</v>
      </c>
      <c r="K964" s="1">
        <v>45487</v>
      </c>
      <c r="L964" s="25">
        <f ca="1">CLIENTES[[#This Row],[Fecha Vencimiento]]-$J$6</f>
        <v>-108</v>
      </c>
      <c r="N964" s="1" t="str">
        <f t="shared" ca="1" si="30"/>
        <v>Vencido</v>
      </c>
      <c r="O964" s="19"/>
      <c r="P964" s="2"/>
      <c r="Q964" s="2">
        <f t="shared" si="29"/>
        <v>0</v>
      </c>
    </row>
    <row r="965" spans="3:17" x14ac:dyDescent="0.25">
      <c r="C965" s="13" t="s">
        <v>2286</v>
      </c>
      <c r="D965" s="13" t="s">
        <v>2287</v>
      </c>
      <c r="F965" t="s">
        <v>35</v>
      </c>
      <c r="G965" t="s">
        <v>2288</v>
      </c>
      <c r="H965" s="14">
        <v>2</v>
      </c>
      <c r="I965" s="10" t="s">
        <v>28</v>
      </c>
      <c r="J965" s="1">
        <v>45569</v>
      </c>
      <c r="K965" s="1">
        <v>45600</v>
      </c>
      <c r="L965" s="25">
        <f ca="1">CLIENTES[[#This Row],[Fecha Vencimiento]]-$J$6</f>
        <v>5</v>
      </c>
      <c r="N965" s="1" t="str">
        <f t="shared" ca="1" si="30"/>
        <v>Al dia</v>
      </c>
      <c r="O965" s="19">
        <v>45539</v>
      </c>
      <c r="P965" s="2"/>
      <c r="Q965" s="2">
        <f t="shared" si="29"/>
        <v>-45539</v>
      </c>
    </row>
    <row r="966" spans="3:17" x14ac:dyDescent="0.25">
      <c r="C966" s="13" t="s">
        <v>2289</v>
      </c>
      <c r="D966" s="13" t="s">
        <v>2290</v>
      </c>
      <c r="F966" t="s">
        <v>35</v>
      </c>
      <c r="G966" t="s">
        <v>2291</v>
      </c>
      <c r="H966" s="14">
        <v>5</v>
      </c>
      <c r="I966" s="10" t="s">
        <v>28</v>
      </c>
      <c r="J966" s="1">
        <v>45570</v>
      </c>
      <c r="K966" s="1">
        <v>45603</v>
      </c>
      <c r="L966" s="25">
        <f ca="1">CLIENTES[[#This Row],[Fecha Vencimiento]]-$J$6</f>
        <v>8</v>
      </c>
      <c r="N966" s="1" t="str">
        <f t="shared" ca="1" si="30"/>
        <v>Al dia</v>
      </c>
      <c r="O966" s="19"/>
      <c r="P966" s="2"/>
      <c r="Q966" s="2">
        <f t="shared" si="29"/>
        <v>0</v>
      </c>
    </row>
    <row r="967" spans="3:17" x14ac:dyDescent="0.25">
      <c r="C967" s="13" t="s">
        <v>2292</v>
      </c>
      <c r="D967" s="13" t="s">
        <v>2293</v>
      </c>
      <c r="E967" s="10">
        <v>1167346770</v>
      </c>
      <c r="F967" t="s">
        <v>35</v>
      </c>
      <c r="G967" t="s">
        <v>2294</v>
      </c>
      <c r="H967" s="14">
        <v>5</v>
      </c>
      <c r="I967" s="10" t="s">
        <v>28</v>
      </c>
      <c r="J967" s="1">
        <v>45574</v>
      </c>
      <c r="K967" s="1">
        <v>45608</v>
      </c>
      <c r="L967" s="25">
        <f ca="1">CLIENTES[[#This Row],[Fecha Vencimiento]]-$J$6</f>
        <v>13</v>
      </c>
      <c r="N967" s="1" t="str">
        <f t="shared" ca="1" si="30"/>
        <v>Al dia</v>
      </c>
      <c r="O967" s="19"/>
      <c r="P967" s="2"/>
      <c r="Q967" s="2">
        <f t="shared" si="29"/>
        <v>0</v>
      </c>
    </row>
    <row r="968" spans="3:17" x14ac:dyDescent="0.25">
      <c r="C968" s="13" t="s">
        <v>2295</v>
      </c>
      <c r="D968" s="13" t="s">
        <v>2296</v>
      </c>
      <c r="E968" s="10">
        <v>1139043817</v>
      </c>
      <c r="F968" t="s">
        <v>35</v>
      </c>
      <c r="G968" t="s">
        <v>2297</v>
      </c>
      <c r="H968" s="14">
        <v>4</v>
      </c>
      <c r="I968" s="10" t="s">
        <v>28</v>
      </c>
      <c r="J968" s="1">
        <v>45576</v>
      </c>
      <c r="K968" s="1">
        <v>45607</v>
      </c>
      <c r="L968" s="25">
        <f ca="1">CLIENTES[[#This Row],[Fecha Vencimiento]]-$J$6</f>
        <v>12</v>
      </c>
      <c r="N968" s="1" t="str">
        <f t="shared" ca="1" si="30"/>
        <v>Al dia</v>
      </c>
      <c r="O968" s="19"/>
      <c r="P968" s="2"/>
      <c r="Q968" s="2">
        <f t="shared" ref="Q968:Q1031" si="31">P968-O968</f>
        <v>0</v>
      </c>
    </row>
    <row r="969" spans="3:17" x14ac:dyDescent="0.25">
      <c r="C969" s="13" t="s">
        <v>2295</v>
      </c>
      <c r="D969" s="13" t="s">
        <v>2298</v>
      </c>
      <c r="F969" t="s">
        <v>35</v>
      </c>
      <c r="G969" t="s">
        <v>2299</v>
      </c>
      <c r="H969" s="14">
        <v>1</v>
      </c>
      <c r="I969" s="10" t="s">
        <v>28</v>
      </c>
      <c r="J969" s="1">
        <v>45569</v>
      </c>
      <c r="K969" s="1">
        <v>45600</v>
      </c>
      <c r="L969" s="25">
        <f ca="1">CLIENTES[[#This Row],[Fecha Vencimiento]]-$J$6</f>
        <v>5</v>
      </c>
      <c r="N969" s="1" t="str">
        <f t="shared" ca="1" si="30"/>
        <v>Al dia</v>
      </c>
      <c r="O969" s="19">
        <v>45569</v>
      </c>
      <c r="P969" s="2"/>
      <c r="Q969" s="2">
        <f t="shared" si="31"/>
        <v>-45569</v>
      </c>
    </row>
    <row r="970" spans="3:17" x14ac:dyDescent="0.25">
      <c r="C970" s="13" t="s">
        <v>2300</v>
      </c>
      <c r="D970" s="13" t="s">
        <v>529</v>
      </c>
      <c r="E970" s="10">
        <v>1126739223</v>
      </c>
      <c r="F970" t="s">
        <v>35</v>
      </c>
      <c r="G970" t="s">
        <v>2301</v>
      </c>
      <c r="H970" s="14">
        <v>3</v>
      </c>
      <c r="I970" s="10" t="s">
        <v>28</v>
      </c>
      <c r="J970" s="1">
        <v>45572</v>
      </c>
      <c r="K970" s="1">
        <v>45602</v>
      </c>
      <c r="L970" s="25">
        <f ca="1">CLIENTES[[#This Row],[Fecha Vencimiento]]-$J$6</f>
        <v>7</v>
      </c>
      <c r="N970" s="1" t="str">
        <f t="shared" ca="1" si="30"/>
        <v>Al dia</v>
      </c>
      <c r="O970" s="19"/>
      <c r="P970" s="2"/>
      <c r="Q970" s="2">
        <f t="shared" si="31"/>
        <v>0</v>
      </c>
    </row>
    <row r="971" spans="3:17" x14ac:dyDescent="0.25">
      <c r="C971" s="13" t="s">
        <v>2302</v>
      </c>
      <c r="D971" s="13" t="s">
        <v>2303</v>
      </c>
      <c r="F971" t="s">
        <v>35</v>
      </c>
      <c r="G971" t="s">
        <v>2304</v>
      </c>
      <c r="I971" s="10" t="s">
        <v>28</v>
      </c>
      <c r="J971" s="1">
        <v>45500</v>
      </c>
      <c r="K971" s="1">
        <v>45531</v>
      </c>
      <c r="L971" s="25">
        <f ca="1">CLIENTES[[#This Row],[Fecha Vencimiento]]-$J$6</f>
        <v>-64</v>
      </c>
      <c r="N971" s="1" t="str">
        <f t="shared" ca="1" si="30"/>
        <v>Vencido</v>
      </c>
      <c r="O971" s="19"/>
      <c r="P971" s="2"/>
      <c r="Q971" s="2">
        <f t="shared" si="31"/>
        <v>0</v>
      </c>
    </row>
    <row r="972" spans="3:17" x14ac:dyDescent="0.25">
      <c r="C972" s="13" t="s">
        <v>2302</v>
      </c>
      <c r="D972" s="13" t="s">
        <v>2305</v>
      </c>
      <c r="E972" s="10">
        <v>1132932662</v>
      </c>
      <c r="F972" t="s">
        <v>35</v>
      </c>
      <c r="G972" t="s">
        <v>2306</v>
      </c>
      <c r="H972" s="14">
        <v>5</v>
      </c>
      <c r="I972" s="10" t="s">
        <v>28</v>
      </c>
      <c r="J972" s="1">
        <v>45566</v>
      </c>
      <c r="K972" s="1">
        <v>45597</v>
      </c>
      <c r="L972" s="25">
        <f ca="1">CLIENTES[[#This Row],[Fecha Vencimiento]]-$J$6</f>
        <v>2</v>
      </c>
      <c r="N972" s="1" t="str">
        <f t="shared" ca="1" si="30"/>
        <v>Por vencer</v>
      </c>
      <c r="O972" s="19"/>
      <c r="P972" s="2"/>
      <c r="Q972" s="2">
        <f t="shared" si="31"/>
        <v>0</v>
      </c>
    </row>
    <row r="973" spans="3:17" x14ac:dyDescent="0.25">
      <c r="C973" s="13" t="s">
        <v>2302</v>
      </c>
      <c r="D973" s="13" t="s">
        <v>2305</v>
      </c>
      <c r="F973" t="s">
        <v>35</v>
      </c>
      <c r="G973" t="s">
        <v>2307</v>
      </c>
      <c r="H973" s="14">
        <v>2</v>
      </c>
      <c r="I973" s="10" t="s">
        <v>28</v>
      </c>
      <c r="J973" s="1">
        <v>45566</v>
      </c>
      <c r="K973" s="1">
        <v>45608</v>
      </c>
      <c r="L973" s="25">
        <f ca="1">CLIENTES[[#This Row],[Fecha Vencimiento]]-$J$6</f>
        <v>13</v>
      </c>
      <c r="N973" s="1" t="str">
        <f t="shared" ca="1" si="30"/>
        <v>Al dia</v>
      </c>
      <c r="O973" s="19">
        <v>45547</v>
      </c>
      <c r="P973" s="2"/>
      <c r="Q973" s="2">
        <f t="shared" si="31"/>
        <v>-45547</v>
      </c>
    </row>
    <row r="974" spans="3:17" x14ac:dyDescent="0.25">
      <c r="C974" s="13" t="s">
        <v>2302</v>
      </c>
      <c r="D974" s="13" t="s">
        <v>2305</v>
      </c>
      <c r="E974" s="10">
        <v>1132932662</v>
      </c>
      <c r="F974" t="s">
        <v>35</v>
      </c>
      <c r="G974" t="s">
        <v>2308</v>
      </c>
      <c r="H974" s="14">
        <v>4</v>
      </c>
      <c r="I974" s="10" t="s">
        <v>28</v>
      </c>
      <c r="J974" s="1">
        <v>45566</v>
      </c>
      <c r="K974" s="1">
        <v>45594</v>
      </c>
      <c r="L974" s="25">
        <f ca="1">CLIENTES[[#This Row],[Fecha Vencimiento]]-$J$6</f>
        <v>-1</v>
      </c>
      <c r="N974" s="1" t="str">
        <f t="shared" ca="1" si="30"/>
        <v>Vencido</v>
      </c>
      <c r="O974" s="19"/>
      <c r="P974" s="2"/>
      <c r="Q974" s="2">
        <f t="shared" si="31"/>
        <v>0</v>
      </c>
    </row>
    <row r="975" spans="3:17" x14ac:dyDescent="0.25">
      <c r="C975" s="13" t="s">
        <v>2302</v>
      </c>
      <c r="D975" s="13" t="s">
        <v>2309</v>
      </c>
      <c r="F975" t="s">
        <v>35</v>
      </c>
      <c r="G975" t="s">
        <v>2310</v>
      </c>
      <c r="H975" s="14">
        <v>6</v>
      </c>
      <c r="I975" s="10" t="s">
        <v>28</v>
      </c>
      <c r="J975" s="1">
        <v>45566</v>
      </c>
      <c r="K975" s="1">
        <v>45603</v>
      </c>
      <c r="L975" s="25">
        <f ca="1">CLIENTES[[#This Row],[Fecha Vencimiento]]-$J$6</f>
        <v>8</v>
      </c>
      <c r="N975" s="1" t="str">
        <f t="shared" ca="1" si="30"/>
        <v>Al dia</v>
      </c>
      <c r="O975" s="19"/>
      <c r="P975" s="2"/>
      <c r="Q975" s="2">
        <f t="shared" si="31"/>
        <v>0</v>
      </c>
    </row>
    <row r="976" spans="3:17" x14ac:dyDescent="0.25">
      <c r="C976" s="13" t="s">
        <v>2311</v>
      </c>
      <c r="D976" s="13" t="s">
        <v>2312</v>
      </c>
      <c r="E976" s="10">
        <v>1128237689</v>
      </c>
      <c r="F976" t="s">
        <v>77</v>
      </c>
      <c r="G976" t="s">
        <v>2313</v>
      </c>
      <c r="I976" s="10" t="s">
        <v>79</v>
      </c>
      <c r="J976" s="1">
        <v>45513</v>
      </c>
      <c r="K976" s="1">
        <v>45544</v>
      </c>
      <c r="L976" s="25">
        <f ca="1">CLIENTES[[#This Row],[Fecha Vencimiento]]-$J$6</f>
        <v>-51</v>
      </c>
      <c r="N976" s="1" t="str">
        <f t="shared" ca="1" si="30"/>
        <v>Vencido</v>
      </c>
      <c r="O976" s="19"/>
      <c r="P976" s="2"/>
      <c r="Q976" s="2">
        <f t="shared" si="31"/>
        <v>0</v>
      </c>
    </row>
    <row r="977" spans="3:17" x14ac:dyDescent="0.25">
      <c r="C977" s="13" t="s">
        <v>2311</v>
      </c>
      <c r="D977" s="13" t="s">
        <v>2314</v>
      </c>
      <c r="E977" s="10">
        <v>1153296672</v>
      </c>
      <c r="F977" t="s">
        <v>35</v>
      </c>
      <c r="G977" t="s">
        <v>2315</v>
      </c>
      <c r="H977" s="14">
        <v>4</v>
      </c>
      <c r="I977" s="10" t="s">
        <v>28</v>
      </c>
      <c r="J977" s="1">
        <v>45591</v>
      </c>
      <c r="K977" s="1">
        <v>45625</v>
      </c>
      <c r="L977" s="25">
        <f ca="1">CLIENTES[[#This Row],[Fecha Vencimiento]]-$J$6</f>
        <v>30</v>
      </c>
      <c r="N977" s="1" t="str">
        <f t="shared" ca="1" si="30"/>
        <v>Al dia</v>
      </c>
      <c r="O977" s="19"/>
      <c r="P977" s="2"/>
      <c r="Q977" s="2">
        <f t="shared" si="31"/>
        <v>0</v>
      </c>
    </row>
    <row r="978" spans="3:17" x14ac:dyDescent="0.25">
      <c r="C978" s="13" t="s">
        <v>2311</v>
      </c>
      <c r="D978" s="13" t="s">
        <v>2316</v>
      </c>
      <c r="F978" t="s">
        <v>159</v>
      </c>
      <c r="G978" t="s">
        <v>2317</v>
      </c>
      <c r="H978" s="14">
        <v>2</v>
      </c>
      <c r="I978" s="10" t="s">
        <v>183</v>
      </c>
      <c r="J978" s="1">
        <v>45573</v>
      </c>
      <c r="K978" s="1">
        <v>45605</v>
      </c>
      <c r="L978" s="25">
        <f ca="1">CLIENTES[[#This Row],[Fecha Vencimiento]]-$J$6</f>
        <v>10</v>
      </c>
      <c r="N978" s="1" t="str">
        <f t="shared" ca="1" si="30"/>
        <v>Al dia</v>
      </c>
      <c r="O978" s="19">
        <v>45544</v>
      </c>
      <c r="P978" s="2"/>
      <c r="Q978" s="2">
        <f t="shared" si="31"/>
        <v>-45544</v>
      </c>
    </row>
    <row r="979" spans="3:17" x14ac:dyDescent="0.25">
      <c r="C979" s="13" t="s">
        <v>2318</v>
      </c>
      <c r="D979" s="13" t="s">
        <v>2319</v>
      </c>
      <c r="E979" s="10">
        <v>1160077508</v>
      </c>
      <c r="F979" t="s">
        <v>35</v>
      </c>
      <c r="G979" t="s">
        <v>2320</v>
      </c>
      <c r="I979" s="10" t="s">
        <v>28</v>
      </c>
      <c r="J979" s="1">
        <v>45540</v>
      </c>
      <c r="K979" s="1">
        <v>45570</v>
      </c>
      <c r="L979" s="25">
        <f ca="1">CLIENTES[[#This Row],[Fecha Vencimiento]]-$J$6</f>
        <v>-25</v>
      </c>
      <c r="N979" s="1" t="str">
        <f t="shared" ca="1" si="30"/>
        <v>Vencido</v>
      </c>
      <c r="O979" s="19"/>
      <c r="P979" s="2"/>
      <c r="Q979" s="2">
        <f t="shared" si="31"/>
        <v>0</v>
      </c>
    </row>
    <row r="980" spans="3:17" x14ac:dyDescent="0.25">
      <c r="C980" s="13" t="s">
        <v>2318</v>
      </c>
      <c r="D980" s="13" t="s">
        <v>2319</v>
      </c>
      <c r="F980" t="s">
        <v>35</v>
      </c>
      <c r="G980" t="s">
        <v>2321</v>
      </c>
      <c r="H980" s="14">
        <v>6</v>
      </c>
      <c r="I980" s="10" t="s">
        <v>28</v>
      </c>
      <c r="J980" s="1">
        <v>45560</v>
      </c>
      <c r="K980" s="1">
        <v>45577</v>
      </c>
      <c r="L980" s="26">
        <f ca="1">CLIENTES[[#This Row],[Fecha Vencimiento]]-$J$6</f>
        <v>-18</v>
      </c>
      <c r="N980" s="1" t="str">
        <f t="shared" ca="1" si="30"/>
        <v>Vencido</v>
      </c>
      <c r="O980" s="19"/>
      <c r="P980" s="2"/>
      <c r="Q980" s="2">
        <f t="shared" si="31"/>
        <v>0</v>
      </c>
    </row>
    <row r="981" spans="3:17" x14ac:dyDescent="0.25">
      <c r="C981" s="13" t="s">
        <v>2318</v>
      </c>
      <c r="D981" s="13" t="s">
        <v>2322</v>
      </c>
      <c r="E981" s="10" t="s">
        <v>2931</v>
      </c>
      <c r="F981" t="s">
        <v>35</v>
      </c>
      <c r="G981" t="s">
        <v>2323</v>
      </c>
      <c r="H981" s="14">
        <v>7</v>
      </c>
      <c r="I981" s="10" t="s">
        <v>28</v>
      </c>
      <c r="J981" s="1">
        <v>45582</v>
      </c>
      <c r="K981" s="1">
        <v>45613</v>
      </c>
      <c r="L981" s="25">
        <f ca="1">CLIENTES[[#This Row],[Fecha Vencimiento]]-$J$6</f>
        <v>18</v>
      </c>
      <c r="N981" s="1" t="str">
        <f t="shared" ca="1" si="30"/>
        <v>Al dia</v>
      </c>
      <c r="O981" s="19"/>
      <c r="P981" s="2"/>
      <c r="Q981" s="2">
        <f t="shared" si="31"/>
        <v>0</v>
      </c>
    </row>
    <row r="982" spans="3:17" x14ac:dyDescent="0.25">
      <c r="C982" s="13" t="s">
        <v>2318</v>
      </c>
      <c r="D982" s="13" t="s">
        <v>1645</v>
      </c>
      <c r="E982" s="10" t="s">
        <v>3110</v>
      </c>
      <c r="F982" t="s">
        <v>35</v>
      </c>
      <c r="G982" t="s">
        <v>2324</v>
      </c>
      <c r="H982" s="14">
        <v>2</v>
      </c>
      <c r="I982" s="10" t="s">
        <v>28</v>
      </c>
      <c r="J982" s="1">
        <v>45548</v>
      </c>
      <c r="K982" s="1">
        <v>45577</v>
      </c>
      <c r="L982" s="25">
        <f ca="1">CLIENTES[[#This Row],[Fecha Vencimiento]]-$J$6</f>
        <v>-18</v>
      </c>
      <c r="N982" s="1" t="str">
        <f t="shared" ca="1" si="30"/>
        <v>Vencido</v>
      </c>
      <c r="O982" s="19"/>
      <c r="P982" s="2"/>
      <c r="Q982" s="2">
        <f t="shared" si="31"/>
        <v>0</v>
      </c>
    </row>
    <row r="983" spans="3:17" x14ac:dyDescent="0.25">
      <c r="C983" s="13" t="s">
        <v>2325</v>
      </c>
      <c r="D983" s="13" t="s">
        <v>2326</v>
      </c>
      <c r="F983" t="s">
        <v>35</v>
      </c>
      <c r="G983" t="s">
        <v>2327</v>
      </c>
      <c r="I983" s="10" t="s">
        <v>28</v>
      </c>
      <c r="J983" s="1">
        <v>45500</v>
      </c>
      <c r="K983" s="1">
        <v>45531</v>
      </c>
      <c r="L983" s="25">
        <f ca="1">CLIENTES[[#This Row],[Fecha Vencimiento]]-$J$6</f>
        <v>-64</v>
      </c>
      <c r="N983" s="1" t="str">
        <f t="shared" ca="1" si="30"/>
        <v>Vencido</v>
      </c>
      <c r="O983" s="19"/>
      <c r="P983" s="2"/>
      <c r="Q983" s="2">
        <f t="shared" si="31"/>
        <v>0</v>
      </c>
    </row>
    <row r="984" spans="3:17" x14ac:dyDescent="0.25">
      <c r="C984" s="13" t="s">
        <v>2325</v>
      </c>
      <c r="D984" s="13" t="s">
        <v>51</v>
      </c>
      <c r="E984" s="10">
        <v>1157810632</v>
      </c>
      <c r="F984" t="s">
        <v>35</v>
      </c>
      <c r="G984" t="s">
        <v>2328</v>
      </c>
      <c r="H984" s="14">
        <v>1</v>
      </c>
      <c r="I984" s="10" t="s">
        <v>28</v>
      </c>
      <c r="J984" s="1">
        <v>45566</v>
      </c>
      <c r="K984" s="1">
        <v>45597</v>
      </c>
      <c r="L984" s="25">
        <f ca="1">CLIENTES[[#This Row],[Fecha Vencimiento]]-$J$6</f>
        <v>2</v>
      </c>
      <c r="N984" s="1" t="str">
        <f t="shared" ca="1" si="30"/>
        <v>Por vencer</v>
      </c>
      <c r="O984" s="19"/>
      <c r="P984" s="2"/>
      <c r="Q984" s="2">
        <f t="shared" si="31"/>
        <v>0</v>
      </c>
    </row>
    <row r="985" spans="3:17" x14ac:dyDescent="0.25">
      <c r="C985" s="13" t="s">
        <v>2325</v>
      </c>
      <c r="D985" s="13" t="s">
        <v>2329</v>
      </c>
      <c r="E985" s="10">
        <v>115612980</v>
      </c>
      <c r="F985" t="s">
        <v>35</v>
      </c>
      <c r="G985" t="s">
        <v>2330</v>
      </c>
      <c r="H985" s="14">
        <v>1</v>
      </c>
      <c r="I985" s="10" t="s">
        <v>28</v>
      </c>
      <c r="J985" s="1">
        <v>45565</v>
      </c>
      <c r="K985" s="1">
        <v>45595</v>
      </c>
      <c r="L985" s="25">
        <f ca="1">CLIENTES[[#This Row],[Fecha Vencimiento]]-$J$6</f>
        <v>0</v>
      </c>
      <c r="N985" s="1" t="str">
        <f t="shared" ca="1" si="30"/>
        <v>Vence hoy</v>
      </c>
      <c r="O985" s="19">
        <v>45565</v>
      </c>
      <c r="P985" s="2"/>
      <c r="Q985" s="2">
        <f t="shared" si="31"/>
        <v>-45565</v>
      </c>
    </row>
    <row r="986" spans="3:17" x14ac:dyDescent="0.25">
      <c r="C986" s="13" t="s">
        <v>2331</v>
      </c>
      <c r="D986" s="13" t="s">
        <v>2332</v>
      </c>
      <c r="E986" s="10">
        <v>1134907106</v>
      </c>
      <c r="F986" t="s">
        <v>35</v>
      </c>
      <c r="G986" t="s">
        <v>2333</v>
      </c>
      <c r="H986" s="14">
        <v>7</v>
      </c>
      <c r="I986" s="10" t="s">
        <v>28</v>
      </c>
      <c r="J986" s="1">
        <v>45594</v>
      </c>
      <c r="K986" s="1">
        <v>45628</v>
      </c>
      <c r="L986" s="25">
        <f ca="1">CLIENTES[[#This Row],[Fecha Vencimiento]]-$J$6</f>
        <v>33</v>
      </c>
      <c r="N986" s="1" t="str">
        <f t="shared" ca="1" si="30"/>
        <v>Al dia</v>
      </c>
      <c r="O986" s="19"/>
      <c r="P986" s="2"/>
      <c r="Q986" s="2">
        <f t="shared" si="31"/>
        <v>0</v>
      </c>
    </row>
    <row r="987" spans="3:17" x14ac:dyDescent="0.25">
      <c r="C987" s="13" t="s">
        <v>2334</v>
      </c>
      <c r="D987" s="13" t="s">
        <v>2335</v>
      </c>
      <c r="E987" s="10">
        <v>1149499023</v>
      </c>
      <c r="F987" t="s">
        <v>35</v>
      </c>
      <c r="G987" t="s">
        <v>2336</v>
      </c>
      <c r="H987" s="14">
        <v>2</v>
      </c>
      <c r="I987" s="10" t="s">
        <v>28</v>
      </c>
      <c r="J987" s="1">
        <v>45581</v>
      </c>
      <c r="K987" s="1">
        <v>45612</v>
      </c>
      <c r="L987" s="25">
        <f ca="1">CLIENTES[[#This Row],[Fecha Vencimiento]]-$J$6</f>
        <v>17</v>
      </c>
      <c r="N987" s="1" t="str">
        <f t="shared" ca="1" si="30"/>
        <v>Al dia</v>
      </c>
      <c r="O987" s="19">
        <v>45551</v>
      </c>
      <c r="P987" s="2"/>
      <c r="Q987" s="2">
        <f t="shared" si="31"/>
        <v>-45551</v>
      </c>
    </row>
    <row r="988" spans="3:17" x14ac:dyDescent="0.25">
      <c r="C988" s="13" t="s">
        <v>2334</v>
      </c>
      <c r="D988" s="13" t="s">
        <v>2337</v>
      </c>
      <c r="E988" s="10">
        <v>1125009153</v>
      </c>
      <c r="F988" t="s">
        <v>35</v>
      </c>
      <c r="G988" t="s">
        <v>2338</v>
      </c>
      <c r="H988" s="14">
        <v>1</v>
      </c>
      <c r="I988" s="10" t="s">
        <v>28</v>
      </c>
      <c r="J988" s="1">
        <v>45561</v>
      </c>
      <c r="K988" s="1">
        <v>45591</v>
      </c>
      <c r="L988" s="25">
        <f ca="1">CLIENTES[[#This Row],[Fecha Vencimiento]]-$J$6</f>
        <v>-4</v>
      </c>
      <c r="N988" s="1" t="str">
        <f t="shared" ca="1" si="30"/>
        <v>Vencido</v>
      </c>
      <c r="O988" s="19">
        <v>45561</v>
      </c>
      <c r="P988" s="2"/>
      <c r="Q988" s="2">
        <f t="shared" si="31"/>
        <v>-45561</v>
      </c>
    </row>
    <row r="989" spans="3:17" x14ac:dyDescent="0.25">
      <c r="C989" s="13" t="s">
        <v>2339</v>
      </c>
      <c r="D989" s="13" t="s">
        <v>2340</v>
      </c>
      <c r="E989" s="10">
        <v>1136696537</v>
      </c>
      <c r="F989" t="s">
        <v>35</v>
      </c>
      <c r="G989" t="s">
        <v>2341</v>
      </c>
      <c r="H989" s="14">
        <v>6</v>
      </c>
      <c r="I989" s="10" t="s">
        <v>28</v>
      </c>
      <c r="J989" s="1">
        <v>45576</v>
      </c>
      <c r="K989" s="1">
        <v>45605</v>
      </c>
      <c r="L989" s="25">
        <f ca="1">CLIENTES[[#This Row],[Fecha Vencimiento]]-$J$6</f>
        <v>10</v>
      </c>
      <c r="N989" s="1" t="str">
        <f t="shared" ca="1" si="30"/>
        <v>Al dia</v>
      </c>
      <c r="O989" s="19"/>
      <c r="P989" s="2"/>
      <c r="Q989" s="2">
        <f t="shared" si="31"/>
        <v>0</v>
      </c>
    </row>
    <row r="990" spans="3:17" x14ac:dyDescent="0.25">
      <c r="C990" s="13" t="s">
        <v>2339</v>
      </c>
      <c r="D990" s="13" t="s">
        <v>2342</v>
      </c>
      <c r="E990" s="10">
        <v>1141673677</v>
      </c>
      <c r="F990" t="s">
        <v>35</v>
      </c>
      <c r="G990" t="s">
        <v>2343</v>
      </c>
      <c r="H990" s="14">
        <v>6</v>
      </c>
      <c r="I990" s="10" t="s">
        <v>28</v>
      </c>
      <c r="J990" s="1">
        <v>45591</v>
      </c>
      <c r="K990" s="1">
        <v>45622</v>
      </c>
      <c r="L990" s="25">
        <f ca="1">CLIENTES[[#This Row],[Fecha Vencimiento]]-$J$6</f>
        <v>27</v>
      </c>
      <c r="N990" s="1" t="str">
        <f t="shared" ca="1" si="30"/>
        <v>Al dia</v>
      </c>
      <c r="O990" s="19"/>
      <c r="P990" s="2"/>
      <c r="Q990" s="2">
        <f t="shared" si="31"/>
        <v>0</v>
      </c>
    </row>
    <row r="991" spans="3:17" x14ac:dyDescent="0.25">
      <c r="C991" s="13" t="s">
        <v>2339</v>
      </c>
      <c r="D991" s="13" t="s">
        <v>2344</v>
      </c>
      <c r="E991" s="10">
        <v>1138308975</v>
      </c>
      <c r="F991" t="s">
        <v>35</v>
      </c>
      <c r="G991" t="s">
        <v>2345</v>
      </c>
      <c r="H991" s="14">
        <v>5</v>
      </c>
      <c r="I991" s="10" t="s">
        <v>28</v>
      </c>
      <c r="J991" s="1">
        <v>45576</v>
      </c>
      <c r="K991" s="1">
        <v>45607</v>
      </c>
      <c r="L991" s="25">
        <f ca="1">CLIENTES[[#This Row],[Fecha Vencimiento]]-$J$6</f>
        <v>12</v>
      </c>
      <c r="N991" s="1" t="str">
        <f t="shared" ca="1" si="30"/>
        <v>Al dia</v>
      </c>
      <c r="O991" s="19"/>
      <c r="P991" s="2"/>
      <c r="Q991" s="2">
        <f t="shared" si="31"/>
        <v>0</v>
      </c>
    </row>
    <row r="992" spans="3:17" x14ac:dyDescent="0.25">
      <c r="C992" s="13" t="s">
        <v>2346</v>
      </c>
      <c r="D992" s="13" t="s">
        <v>1801</v>
      </c>
      <c r="F992" t="s">
        <v>35</v>
      </c>
      <c r="G992" t="s">
        <v>2347</v>
      </c>
      <c r="I992" s="10" t="s">
        <v>28</v>
      </c>
      <c r="J992" s="1">
        <v>45491</v>
      </c>
      <c r="K992" s="1">
        <v>45530</v>
      </c>
      <c r="L992" s="25">
        <f ca="1">CLIENTES[[#This Row],[Fecha Vencimiento]]-$J$6</f>
        <v>-65</v>
      </c>
      <c r="N992" s="1" t="str">
        <f t="shared" ca="1" si="30"/>
        <v>Vencido</v>
      </c>
      <c r="O992" s="19"/>
      <c r="P992" s="2"/>
      <c r="Q992" s="2">
        <f t="shared" si="31"/>
        <v>0</v>
      </c>
    </row>
    <row r="993" spans="3:17" x14ac:dyDescent="0.25">
      <c r="C993" s="13" t="s">
        <v>2348</v>
      </c>
      <c r="D993" s="13" t="s">
        <v>2349</v>
      </c>
      <c r="E993" s="10" t="s">
        <v>3108</v>
      </c>
      <c r="F993" t="s">
        <v>35</v>
      </c>
      <c r="G993" t="s">
        <v>2350</v>
      </c>
      <c r="I993" s="10" t="s">
        <v>28</v>
      </c>
      <c r="J993" s="1">
        <v>45523</v>
      </c>
      <c r="K993" s="1">
        <v>45552</v>
      </c>
      <c r="L993" s="25">
        <f ca="1">CLIENTES[[#This Row],[Fecha Vencimiento]]-$J$6</f>
        <v>-43</v>
      </c>
      <c r="N993" s="1" t="str">
        <f t="shared" ca="1" si="30"/>
        <v>Vencido</v>
      </c>
      <c r="O993" s="19"/>
      <c r="P993" s="2"/>
      <c r="Q993" s="2">
        <f t="shared" si="31"/>
        <v>0</v>
      </c>
    </row>
    <row r="994" spans="3:17" x14ac:dyDescent="0.25">
      <c r="C994" s="13" t="s">
        <v>2351</v>
      </c>
      <c r="D994" s="13" t="s">
        <v>2352</v>
      </c>
      <c r="E994" s="10" t="s">
        <v>2931</v>
      </c>
      <c r="F994" t="s">
        <v>35</v>
      </c>
      <c r="G994" t="s">
        <v>2353</v>
      </c>
      <c r="H994" s="14">
        <v>1</v>
      </c>
      <c r="I994" s="10" t="s">
        <v>28</v>
      </c>
      <c r="J994" s="1">
        <v>45539</v>
      </c>
      <c r="K994" s="1">
        <v>45569</v>
      </c>
      <c r="L994" s="25">
        <f ca="1">CLIENTES[[#This Row],[Fecha Vencimiento]]-$J$6</f>
        <v>-26</v>
      </c>
      <c r="N994" s="1" t="str">
        <f t="shared" ca="1" si="30"/>
        <v>Vencido</v>
      </c>
      <c r="O994" s="19">
        <v>45539</v>
      </c>
      <c r="P994" s="2"/>
      <c r="Q994" s="2">
        <f t="shared" si="31"/>
        <v>-45539</v>
      </c>
    </row>
    <row r="995" spans="3:17" x14ac:dyDescent="0.25">
      <c r="C995" s="13" t="s">
        <v>2351</v>
      </c>
      <c r="D995" s="13" t="s">
        <v>2354</v>
      </c>
      <c r="E995" s="10" t="s">
        <v>2931</v>
      </c>
      <c r="F995" t="s">
        <v>35</v>
      </c>
      <c r="G995" t="s">
        <v>2355</v>
      </c>
      <c r="H995" s="14">
        <v>3</v>
      </c>
      <c r="I995" s="10" t="s">
        <v>28</v>
      </c>
      <c r="J995" s="1">
        <v>45594</v>
      </c>
      <c r="K995" s="1">
        <v>45616</v>
      </c>
      <c r="L995" s="25">
        <f ca="1">CLIENTES[[#This Row],[Fecha Vencimiento]]-$J$6</f>
        <v>21</v>
      </c>
      <c r="N995" s="1" t="str">
        <f t="shared" ca="1" si="30"/>
        <v>Al dia</v>
      </c>
      <c r="O995" s="19"/>
      <c r="P995" s="2"/>
      <c r="Q995" s="2">
        <f t="shared" si="31"/>
        <v>0</v>
      </c>
    </row>
    <row r="996" spans="3:17" x14ac:dyDescent="0.25">
      <c r="C996" s="13" t="s">
        <v>2351</v>
      </c>
      <c r="D996" s="13" t="s">
        <v>51</v>
      </c>
      <c r="E996" s="10">
        <v>1167819825</v>
      </c>
      <c r="F996" t="s">
        <v>35</v>
      </c>
      <c r="G996" t="s">
        <v>2356</v>
      </c>
      <c r="H996" s="14">
        <v>5</v>
      </c>
      <c r="I996" s="10" t="s">
        <v>28</v>
      </c>
      <c r="J996" s="1">
        <v>45594</v>
      </c>
      <c r="K996" s="1">
        <v>45625</v>
      </c>
      <c r="L996" s="25">
        <f ca="1">CLIENTES[[#This Row],[Fecha Vencimiento]]-$J$6</f>
        <v>30</v>
      </c>
      <c r="N996" s="1" t="str">
        <f t="shared" ca="1" si="30"/>
        <v>Al dia</v>
      </c>
      <c r="O996" s="19"/>
      <c r="P996" s="2"/>
      <c r="Q996" s="2">
        <f t="shared" si="31"/>
        <v>0</v>
      </c>
    </row>
    <row r="997" spans="3:17" x14ac:dyDescent="0.25">
      <c r="C997" s="13" t="s">
        <v>2351</v>
      </c>
      <c r="D997" s="13" t="s">
        <v>2357</v>
      </c>
      <c r="F997" t="s">
        <v>35</v>
      </c>
      <c r="G997" t="s">
        <v>2358</v>
      </c>
      <c r="I997" s="10" t="s">
        <v>28</v>
      </c>
      <c r="J997" s="1">
        <v>45499</v>
      </c>
      <c r="K997" s="1">
        <v>45530</v>
      </c>
      <c r="L997" s="25">
        <f ca="1">CLIENTES[[#This Row],[Fecha Vencimiento]]-$J$6</f>
        <v>-65</v>
      </c>
      <c r="N997" s="1" t="str">
        <f t="shared" ca="1" si="30"/>
        <v>Vencido</v>
      </c>
      <c r="O997" s="19"/>
      <c r="P997" s="2"/>
      <c r="Q997" s="2">
        <f t="shared" si="31"/>
        <v>0</v>
      </c>
    </row>
    <row r="998" spans="3:17" x14ac:dyDescent="0.25">
      <c r="C998" s="13" t="s">
        <v>2351</v>
      </c>
      <c r="D998" s="13" t="s">
        <v>2359</v>
      </c>
      <c r="E998" s="10">
        <v>1168966863</v>
      </c>
      <c r="F998" t="s">
        <v>35</v>
      </c>
      <c r="G998" t="s">
        <v>2360</v>
      </c>
      <c r="H998" s="14">
        <v>3</v>
      </c>
      <c r="I998" s="10" t="s">
        <v>28</v>
      </c>
      <c r="J998" s="1">
        <v>45574</v>
      </c>
      <c r="K998" s="1">
        <v>45605</v>
      </c>
      <c r="L998" s="25">
        <f ca="1">CLIENTES[[#This Row],[Fecha Vencimiento]]-$J$6</f>
        <v>10</v>
      </c>
      <c r="N998" s="1" t="str">
        <f t="shared" ca="1" si="30"/>
        <v>Al dia</v>
      </c>
      <c r="O998" s="19"/>
      <c r="P998" s="2"/>
      <c r="Q998" s="2">
        <f t="shared" si="31"/>
        <v>0</v>
      </c>
    </row>
    <row r="999" spans="3:17" x14ac:dyDescent="0.25">
      <c r="C999" s="13" t="s">
        <v>2351</v>
      </c>
      <c r="D999" s="13" t="s">
        <v>2359</v>
      </c>
      <c r="E999" s="10">
        <v>1168966863</v>
      </c>
      <c r="F999" t="s">
        <v>35</v>
      </c>
      <c r="G999" t="s">
        <v>2361</v>
      </c>
      <c r="H999" s="14">
        <v>2</v>
      </c>
      <c r="I999" s="10" t="s">
        <v>28</v>
      </c>
      <c r="J999" s="1">
        <v>45574</v>
      </c>
      <c r="K999" s="1">
        <v>45605</v>
      </c>
      <c r="L999" s="25">
        <f ca="1">CLIENTES[[#This Row],[Fecha Vencimiento]]-$J$6</f>
        <v>10</v>
      </c>
      <c r="N999" s="1" t="str">
        <f t="shared" ca="1" si="30"/>
        <v>Al dia</v>
      </c>
      <c r="O999" s="19"/>
      <c r="P999" s="2"/>
      <c r="Q999" s="2">
        <f t="shared" si="31"/>
        <v>0</v>
      </c>
    </row>
    <row r="1000" spans="3:17" x14ac:dyDescent="0.25">
      <c r="C1000" s="13" t="s">
        <v>2351</v>
      </c>
      <c r="D1000" s="13" t="s">
        <v>2362</v>
      </c>
      <c r="E1000" s="10">
        <v>1138930515</v>
      </c>
      <c r="F1000" t="s">
        <v>35</v>
      </c>
      <c r="G1000" t="s">
        <v>2363</v>
      </c>
      <c r="H1000" s="14">
        <v>5</v>
      </c>
      <c r="I1000" s="10" t="s">
        <v>28</v>
      </c>
      <c r="J1000" s="1">
        <v>45589</v>
      </c>
      <c r="K1000" s="1">
        <v>45620</v>
      </c>
      <c r="L1000" s="25">
        <f ca="1">CLIENTES[[#This Row],[Fecha Vencimiento]]-$J$6</f>
        <v>25</v>
      </c>
      <c r="N1000" s="1" t="str">
        <f t="shared" ca="1" si="30"/>
        <v>Al dia</v>
      </c>
      <c r="O1000" s="19"/>
      <c r="P1000" s="2"/>
      <c r="Q1000" s="2">
        <f t="shared" si="31"/>
        <v>0</v>
      </c>
    </row>
    <row r="1001" spans="3:17" x14ac:dyDescent="0.25">
      <c r="C1001" s="13" t="s">
        <v>2351</v>
      </c>
      <c r="D1001" s="13" t="s">
        <v>1095</v>
      </c>
      <c r="E1001" s="10">
        <v>1127051523</v>
      </c>
      <c r="F1001" t="s">
        <v>35</v>
      </c>
      <c r="G1001" t="s">
        <v>2364</v>
      </c>
      <c r="H1001" s="14">
        <v>2</v>
      </c>
      <c r="I1001" s="10" t="s">
        <v>28</v>
      </c>
      <c r="J1001" s="1">
        <v>45567</v>
      </c>
      <c r="K1001" s="1">
        <v>45598</v>
      </c>
      <c r="L1001" s="25">
        <f ca="1">CLIENTES[[#This Row],[Fecha Vencimiento]]-$J$6</f>
        <v>3</v>
      </c>
      <c r="N1001" s="1" t="str">
        <f t="shared" ca="1" si="30"/>
        <v>Por vencer</v>
      </c>
      <c r="O1001" s="19"/>
      <c r="P1001" s="2"/>
      <c r="Q1001" s="2">
        <f t="shared" si="31"/>
        <v>0</v>
      </c>
    </row>
    <row r="1002" spans="3:17" x14ac:dyDescent="0.25">
      <c r="C1002" s="13" t="s">
        <v>2351</v>
      </c>
      <c r="D1002" s="13" t="s">
        <v>2365</v>
      </c>
      <c r="F1002" t="s">
        <v>35</v>
      </c>
      <c r="G1002" t="s">
        <v>2366</v>
      </c>
      <c r="H1002" s="14">
        <v>5</v>
      </c>
      <c r="I1002" s="10" t="s">
        <v>28</v>
      </c>
      <c r="J1002" s="1">
        <v>45575</v>
      </c>
      <c r="K1002" s="1">
        <v>45609</v>
      </c>
      <c r="L1002" s="25">
        <f ca="1">CLIENTES[[#This Row],[Fecha Vencimiento]]-$J$6</f>
        <v>14</v>
      </c>
      <c r="N1002" s="1" t="str">
        <f t="shared" ca="1" si="30"/>
        <v>Al dia</v>
      </c>
      <c r="O1002" s="19"/>
      <c r="P1002" s="2"/>
      <c r="Q1002" s="2">
        <f t="shared" si="31"/>
        <v>0</v>
      </c>
    </row>
    <row r="1003" spans="3:17" x14ac:dyDescent="0.25">
      <c r="C1003" s="13" t="s">
        <v>2351</v>
      </c>
      <c r="D1003" s="13" t="s">
        <v>2367</v>
      </c>
      <c r="F1003" t="s">
        <v>35</v>
      </c>
      <c r="G1003" t="s">
        <v>2368</v>
      </c>
      <c r="I1003" s="10" t="s">
        <v>28</v>
      </c>
      <c r="J1003" s="1">
        <v>45490</v>
      </c>
      <c r="K1003" s="1">
        <v>45521</v>
      </c>
      <c r="L1003" s="25">
        <f ca="1">CLIENTES[[#This Row],[Fecha Vencimiento]]-$J$6</f>
        <v>-74</v>
      </c>
      <c r="N1003" s="1" t="str">
        <f t="shared" ca="1" si="30"/>
        <v>Vencido</v>
      </c>
      <c r="O1003" s="19"/>
      <c r="P1003" s="2"/>
      <c r="Q1003" s="2">
        <f t="shared" si="31"/>
        <v>0</v>
      </c>
    </row>
    <row r="1004" spans="3:17" x14ac:dyDescent="0.25">
      <c r="C1004" s="13" t="s">
        <v>2351</v>
      </c>
      <c r="D1004" s="13" t="s">
        <v>2369</v>
      </c>
      <c r="F1004" t="s">
        <v>35</v>
      </c>
      <c r="G1004" t="s">
        <v>2370</v>
      </c>
      <c r="I1004" s="10" t="s">
        <v>28</v>
      </c>
      <c r="J1004" s="1">
        <v>45457</v>
      </c>
      <c r="K1004" s="1">
        <v>45488</v>
      </c>
      <c r="L1004" s="25">
        <f ca="1">CLIENTES[[#This Row],[Fecha Vencimiento]]-$J$6</f>
        <v>-107</v>
      </c>
      <c r="N1004" s="1" t="str">
        <f t="shared" ca="1" si="30"/>
        <v>Vencido</v>
      </c>
      <c r="O1004" s="19"/>
      <c r="P1004" s="2"/>
      <c r="Q1004" s="2">
        <f t="shared" si="31"/>
        <v>0</v>
      </c>
    </row>
    <row r="1005" spans="3:17" x14ac:dyDescent="0.25">
      <c r="C1005" s="13" t="s">
        <v>2351</v>
      </c>
      <c r="D1005" s="13" t="s">
        <v>2362</v>
      </c>
      <c r="E1005" s="10">
        <v>1138930515</v>
      </c>
      <c r="F1005" t="s">
        <v>35</v>
      </c>
      <c r="G1005" t="s">
        <v>2371</v>
      </c>
      <c r="H1005" s="14">
        <v>1</v>
      </c>
      <c r="I1005" s="10" t="s">
        <v>28</v>
      </c>
      <c r="J1005" s="1">
        <v>45567</v>
      </c>
      <c r="K1005" s="1">
        <v>45598</v>
      </c>
      <c r="L1005" s="25">
        <f ca="1">CLIENTES[[#This Row],[Fecha Vencimiento]]-$J$6</f>
        <v>3</v>
      </c>
      <c r="N1005" s="1" t="str">
        <f t="shared" ca="1" si="30"/>
        <v>Por vencer</v>
      </c>
      <c r="O1005" s="19">
        <v>45567</v>
      </c>
      <c r="P1005" s="2"/>
      <c r="Q1005" s="2">
        <f t="shared" si="31"/>
        <v>-45567</v>
      </c>
    </row>
    <row r="1006" spans="3:17" x14ac:dyDescent="0.25">
      <c r="C1006" s="13" t="s">
        <v>2372</v>
      </c>
      <c r="D1006" s="13" t="s">
        <v>2373</v>
      </c>
      <c r="F1006" t="s">
        <v>35</v>
      </c>
      <c r="G1006" t="s">
        <v>2374</v>
      </c>
      <c r="I1006" s="10" t="s">
        <v>28</v>
      </c>
      <c r="J1006" s="1">
        <v>45454</v>
      </c>
      <c r="K1006" s="1">
        <v>45484</v>
      </c>
      <c r="L1006" s="25">
        <f ca="1">CLIENTES[[#This Row],[Fecha Vencimiento]]-$J$6</f>
        <v>-111</v>
      </c>
      <c r="N1006" s="1" t="str">
        <f t="shared" ca="1" si="30"/>
        <v>Vencido</v>
      </c>
      <c r="O1006" s="19"/>
      <c r="P1006" s="2"/>
      <c r="Q1006" s="2">
        <f t="shared" si="31"/>
        <v>0</v>
      </c>
    </row>
    <row r="1007" spans="3:17" x14ac:dyDescent="0.25">
      <c r="C1007" s="13" t="s">
        <v>2375</v>
      </c>
      <c r="D1007" s="13" t="s">
        <v>2376</v>
      </c>
      <c r="E1007" s="10">
        <v>1124731517</v>
      </c>
      <c r="F1007" t="s">
        <v>35</v>
      </c>
      <c r="G1007" t="s">
        <v>2377</v>
      </c>
      <c r="H1007" s="14">
        <v>3</v>
      </c>
      <c r="I1007" s="10" t="s">
        <v>28</v>
      </c>
      <c r="J1007" s="1">
        <v>45548</v>
      </c>
      <c r="K1007" s="1">
        <v>45581</v>
      </c>
      <c r="L1007" s="25">
        <f ca="1">CLIENTES[[#This Row],[Fecha Vencimiento]]-$J$6</f>
        <v>-14</v>
      </c>
      <c r="N1007" s="1" t="str">
        <f t="shared" ca="1" si="30"/>
        <v>Vencido</v>
      </c>
      <c r="O1007" s="19"/>
      <c r="P1007" s="2"/>
      <c r="Q1007" s="2">
        <f t="shared" si="31"/>
        <v>0</v>
      </c>
    </row>
    <row r="1008" spans="3:17" x14ac:dyDescent="0.25">
      <c r="C1008" s="13" t="s">
        <v>2378</v>
      </c>
      <c r="D1008" s="13" t="s">
        <v>2379</v>
      </c>
      <c r="E1008" s="10" t="s">
        <v>3125</v>
      </c>
      <c r="F1008" t="s">
        <v>35</v>
      </c>
      <c r="G1008" t="s">
        <v>2380</v>
      </c>
      <c r="H1008" s="14">
        <v>4</v>
      </c>
      <c r="I1008" s="10" t="s">
        <v>28</v>
      </c>
      <c r="J1008" s="1">
        <v>45579</v>
      </c>
      <c r="K1008" s="1">
        <v>45614</v>
      </c>
      <c r="L1008" s="25">
        <f ca="1">CLIENTES[[#This Row],[Fecha Vencimiento]]-$J$6</f>
        <v>19</v>
      </c>
      <c r="N1008" s="1" t="str">
        <f t="shared" ca="1" si="30"/>
        <v>Al dia</v>
      </c>
      <c r="O1008" s="19"/>
      <c r="P1008" s="2"/>
      <c r="Q1008" s="2">
        <f t="shared" si="31"/>
        <v>0</v>
      </c>
    </row>
    <row r="1009" spans="3:17" x14ac:dyDescent="0.25">
      <c r="C1009" s="13" t="s">
        <v>2381</v>
      </c>
      <c r="D1009" s="13" t="s">
        <v>2382</v>
      </c>
      <c r="F1009" t="s">
        <v>232</v>
      </c>
      <c r="G1009" t="s">
        <v>2383</v>
      </c>
      <c r="H1009" s="14">
        <v>1</v>
      </c>
      <c r="I1009" s="10" t="s">
        <v>183</v>
      </c>
      <c r="J1009" s="1">
        <v>45491</v>
      </c>
      <c r="K1009" s="1">
        <v>45527</v>
      </c>
      <c r="L1009" s="25">
        <f ca="1">CLIENTES[[#This Row],[Fecha Vencimiento]]-$J$6</f>
        <v>-68</v>
      </c>
      <c r="N1009" s="1" t="str">
        <f t="shared" ca="1" si="30"/>
        <v>Vencido</v>
      </c>
      <c r="O1009" s="19"/>
      <c r="P1009" s="2"/>
      <c r="Q1009" s="2">
        <f t="shared" si="31"/>
        <v>0</v>
      </c>
    </row>
    <row r="1010" spans="3:17" x14ac:dyDescent="0.25">
      <c r="C1010" s="13" t="s">
        <v>2384</v>
      </c>
      <c r="D1010" s="13" t="s">
        <v>2385</v>
      </c>
      <c r="E1010" s="10">
        <v>1136072534</v>
      </c>
      <c r="F1010" t="s">
        <v>35</v>
      </c>
      <c r="G1010" t="s">
        <v>2386</v>
      </c>
      <c r="H1010" s="14">
        <v>2</v>
      </c>
      <c r="I1010" s="10" t="s">
        <v>28</v>
      </c>
      <c r="J1010" s="1">
        <v>45568</v>
      </c>
      <c r="K1010" s="1">
        <v>45598</v>
      </c>
      <c r="L1010" s="25">
        <f ca="1">CLIENTES[[#This Row],[Fecha Vencimiento]]-$J$6</f>
        <v>3</v>
      </c>
      <c r="N1010" s="1" t="str">
        <f t="shared" ca="1" si="30"/>
        <v>Por vencer</v>
      </c>
      <c r="O1010" s="19"/>
      <c r="P1010" s="2"/>
      <c r="Q1010" s="2">
        <f t="shared" si="31"/>
        <v>0</v>
      </c>
    </row>
    <row r="1011" spans="3:17" x14ac:dyDescent="0.25">
      <c r="C1011" s="13" t="s">
        <v>2387</v>
      </c>
      <c r="D1011" s="13" t="s">
        <v>2388</v>
      </c>
      <c r="F1011" t="s">
        <v>35</v>
      </c>
      <c r="G1011" t="s">
        <v>2389</v>
      </c>
      <c r="I1011" s="10" t="s">
        <v>28</v>
      </c>
      <c r="J1011" s="1">
        <v>45486</v>
      </c>
      <c r="K1011" s="1">
        <v>45517</v>
      </c>
      <c r="L1011" s="25">
        <f ca="1">CLIENTES[[#This Row],[Fecha Vencimiento]]-$J$6</f>
        <v>-78</v>
      </c>
      <c r="N1011" s="1" t="str">
        <f t="shared" ref="N1011:N1074" ca="1" si="32">IF(L1011&lt;0,"Vencido",IF(L1011=0,"Vence hoy",IF(L1011&lt;4,"Por vencer","Al dia")))</f>
        <v>Vencido</v>
      </c>
      <c r="O1011" s="19"/>
      <c r="P1011" s="2"/>
      <c r="Q1011" s="2">
        <f t="shared" si="31"/>
        <v>0</v>
      </c>
    </row>
    <row r="1012" spans="3:17" x14ac:dyDescent="0.25">
      <c r="C1012" s="13" t="s">
        <v>2387</v>
      </c>
      <c r="D1012" s="13" t="s">
        <v>2390</v>
      </c>
      <c r="F1012" t="s">
        <v>259</v>
      </c>
      <c r="G1012" t="s">
        <v>2391</v>
      </c>
      <c r="H1012" s="14">
        <v>2</v>
      </c>
      <c r="I1012" s="10"/>
      <c r="J1012" s="1">
        <v>45510</v>
      </c>
      <c r="K1012" s="1">
        <v>45538</v>
      </c>
      <c r="L1012" s="25">
        <f ca="1">CLIENTES[[#This Row],[Fecha Vencimiento]]-$J$6</f>
        <v>-57</v>
      </c>
      <c r="N1012" s="1" t="str">
        <f t="shared" ca="1" si="32"/>
        <v>Vencido</v>
      </c>
      <c r="O1012" s="19"/>
      <c r="P1012" s="2"/>
      <c r="Q1012" s="2">
        <f t="shared" si="31"/>
        <v>0</v>
      </c>
    </row>
    <row r="1013" spans="3:17" x14ac:dyDescent="0.25">
      <c r="C1013" s="13" t="s">
        <v>2387</v>
      </c>
      <c r="D1013" s="13" t="s">
        <v>123</v>
      </c>
      <c r="E1013" s="10" t="s">
        <v>2931</v>
      </c>
      <c r="F1013" t="s">
        <v>35</v>
      </c>
      <c r="G1013" t="s">
        <v>2392</v>
      </c>
      <c r="H1013" s="14">
        <v>1</v>
      </c>
      <c r="I1013" s="10" t="s">
        <v>28</v>
      </c>
      <c r="J1013" s="1">
        <v>45542</v>
      </c>
      <c r="K1013" s="1">
        <v>45572</v>
      </c>
      <c r="L1013" s="25">
        <f ca="1">CLIENTES[[#This Row],[Fecha Vencimiento]]-$J$6</f>
        <v>-23</v>
      </c>
      <c r="N1013" s="1" t="str">
        <f t="shared" ca="1" si="32"/>
        <v>Vencido</v>
      </c>
      <c r="O1013" s="19"/>
      <c r="P1013" s="2"/>
      <c r="Q1013" s="2">
        <f t="shared" si="31"/>
        <v>0</v>
      </c>
    </row>
    <row r="1014" spans="3:17" x14ac:dyDescent="0.25">
      <c r="C1014" s="13" t="s">
        <v>2387</v>
      </c>
      <c r="D1014" s="13" t="s">
        <v>123</v>
      </c>
      <c r="E1014" s="10" t="s">
        <v>2931</v>
      </c>
      <c r="F1014" t="s">
        <v>35</v>
      </c>
      <c r="G1014" t="s">
        <v>2393</v>
      </c>
      <c r="H1014" s="14">
        <v>1</v>
      </c>
      <c r="I1014" s="10" t="s">
        <v>28</v>
      </c>
      <c r="J1014" s="1">
        <v>45530</v>
      </c>
      <c r="K1014" s="1">
        <v>45561</v>
      </c>
      <c r="L1014" s="25">
        <f ca="1">CLIENTES[[#This Row],[Fecha Vencimiento]]-$J$6</f>
        <v>-34</v>
      </c>
      <c r="N1014" s="1" t="str">
        <f t="shared" ca="1" si="32"/>
        <v>Vencido</v>
      </c>
      <c r="O1014" s="19">
        <v>45530</v>
      </c>
      <c r="P1014" s="2"/>
      <c r="Q1014" s="2">
        <f t="shared" si="31"/>
        <v>-45530</v>
      </c>
    </row>
    <row r="1015" spans="3:17" x14ac:dyDescent="0.25">
      <c r="C1015" s="13" t="s">
        <v>2387</v>
      </c>
      <c r="D1015" s="13" t="s">
        <v>2394</v>
      </c>
      <c r="F1015" t="s">
        <v>35</v>
      </c>
      <c r="G1015" t="s">
        <v>2395</v>
      </c>
      <c r="H1015" s="14">
        <v>6</v>
      </c>
      <c r="I1015" s="10" t="s">
        <v>28</v>
      </c>
      <c r="J1015" s="1">
        <v>45574</v>
      </c>
      <c r="K1015" s="1">
        <v>45606</v>
      </c>
      <c r="L1015" s="25">
        <f ca="1">CLIENTES[[#This Row],[Fecha Vencimiento]]-$J$6</f>
        <v>11</v>
      </c>
      <c r="N1015" s="1" t="str">
        <f t="shared" ca="1" si="32"/>
        <v>Al dia</v>
      </c>
      <c r="O1015" s="19"/>
      <c r="P1015" s="2"/>
      <c r="Q1015" s="2">
        <f t="shared" si="31"/>
        <v>0</v>
      </c>
    </row>
    <row r="1016" spans="3:17" x14ac:dyDescent="0.25">
      <c r="C1016" s="13" t="s">
        <v>2396</v>
      </c>
      <c r="D1016" s="13" t="s">
        <v>2397</v>
      </c>
      <c r="E1016" s="10" t="s">
        <v>3125</v>
      </c>
      <c r="F1016" t="s">
        <v>35</v>
      </c>
      <c r="G1016" t="s">
        <v>2398</v>
      </c>
      <c r="H1016" s="14">
        <v>4</v>
      </c>
      <c r="I1016" s="10" t="s">
        <v>28</v>
      </c>
      <c r="J1016" s="1">
        <v>45568</v>
      </c>
      <c r="K1016" s="1">
        <v>45600</v>
      </c>
      <c r="L1016" s="25">
        <f ca="1">CLIENTES[[#This Row],[Fecha Vencimiento]]-$J$6</f>
        <v>5</v>
      </c>
      <c r="N1016" s="1" t="str">
        <f t="shared" ca="1" si="32"/>
        <v>Al dia</v>
      </c>
      <c r="O1016" s="19"/>
      <c r="P1016" s="2"/>
      <c r="Q1016" s="2">
        <f t="shared" si="31"/>
        <v>0</v>
      </c>
    </row>
    <row r="1017" spans="3:17" x14ac:dyDescent="0.25">
      <c r="C1017" s="13" t="s">
        <v>2399</v>
      </c>
      <c r="D1017" s="13" t="s">
        <v>2400</v>
      </c>
      <c r="F1017" t="s">
        <v>35</v>
      </c>
      <c r="G1017" t="s">
        <v>2401</v>
      </c>
      <c r="H1017" s="14">
        <v>4</v>
      </c>
      <c r="I1017" s="10" t="s">
        <v>28</v>
      </c>
      <c r="J1017" s="1">
        <v>45580</v>
      </c>
      <c r="K1017" s="1">
        <v>45618</v>
      </c>
      <c r="L1017" s="25">
        <f ca="1">CLIENTES[[#This Row],[Fecha Vencimiento]]-$J$6</f>
        <v>23</v>
      </c>
      <c r="N1017" s="1" t="str">
        <f t="shared" ca="1" si="32"/>
        <v>Al dia</v>
      </c>
      <c r="O1017" s="19"/>
      <c r="P1017" s="2"/>
      <c r="Q1017" s="2">
        <f t="shared" si="31"/>
        <v>0</v>
      </c>
    </row>
    <row r="1018" spans="3:17" x14ac:dyDescent="0.25">
      <c r="C1018" s="13" t="s">
        <v>2402</v>
      </c>
      <c r="D1018" s="13" t="s">
        <v>2403</v>
      </c>
      <c r="E1018" s="10">
        <v>1168831549</v>
      </c>
      <c r="F1018" t="s">
        <v>35</v>
      </c>
      <c r="G1018" t="s">
        <v>2404</v>
      </c>
      <c r="H1018" s="14">
        <v>4</v>
      </c>
      <c r="I1018" s="10" t="s">
        <v>28</v>
      </c>
      <c r="J1018" s="1">
        <v>45593</v>
      </c>
      <c r="K1018" s="1">
        <v>45621</v>
      </c>
      <c r="L1018" s="25">
        <f ca="1">CLIENTES[[#This Row],[Fecha Vencimiento]]-$J$6</f>
        <v>26</v>
      </c>
      <c r="N1018" s="1" t="str">
        <f t="shared" ca="1" si="32"/>
        <v>Al dia</v>
      </c>
      <c r="O1018" s="19"/>
      <c r="P1018" s="2"/>
      <c r="Q1018" s="2">
        <f t="shared" si="31"/>
        <v>0</v>
      </c>
    </row>
    <row r="1019" spans="3:17" x14ac:dyDescent="0.25">
      <c r="C1019" s="13" t="s">
        <v>2405</v>
      </c>
      <c r="D1019" s="13" t="s">
        <v>2406</v>
      </c>
      <c r="E1019" s="10">
        <v>1141468315</v>
      </c>
      <c r="F1019" t="s">
        <v>35</v>
      </c>
      <c r="G1019" t="s">
        <v>2407</v>
      </c>
      <c r="H1019" s="14">
        <v>4</v>
      </c>
      <c r="I1019" s="10" t="s">
        <v>28</v>
      </c>
      <c r="J1019" s="1">
        <v>45581</v>
      </c>
      <c r="K1019" s="1">
        <v>45612</v>
      </c>
      <c r="L1019" s="25">
        <f ca="1">CLIENTES[[#This Row],[Fecha Vencimiento]]-$J$6</f>
        <v>17</v>
      </c>
      <c r="N1019" s="1" t="str">
        <f t="shared" ca="1" si="32"/>
        <v>Al dia</v>
      </c>
      <c r="O1019" s="19"/>
      <c r="P1019" s="2"/>
      <c r="Q1019" s="2">
        <f t="shared" si="31"/>
        <v>0</v>
      </c>
    </row>
    <row r="1020" spans="3:17" x14ac:dyDescent="0.25">
      <c r="C1020" s="13" t="s">
        <v>2408</v>
      </c>
      <c r="D1020" s="13" t="s">
        <v>1263</v>
      </c>
      <c r="E1020" s="10">
        <v>1133919382</v>
      </c>
      <c r="F1020" t="s">
        <v>35</v>
      </c>
      <c r="G1020" t="s">
        <v>2409</v>
      </c>
      <c r="H1020" s="14">
        <v>4</v>
      </c>
      <c r="I1020" s="10" t="s">
        <v>28</v>
      </c>
      <c r="J1020" s="1">
        <v>45583</v>
      </c>
      <c r="K1020" s="1">
        <v>45613</v>
      </c>
      <c r="L1020" s="25">
        <f ca="1">CLIENTES[[#This Row],[Fecha Vencimiento]]-$J$6</f>
        <v>18</v>
      </c>
      <c r="N1020" s="1" t="str">
        <f t="shared" ca="1" si="32"/>
        <v>Al dia</v>
      </c>
      <c r="O1020" s="19"/>
      <c r="P1020" s="2"/>
      <c r="Q1020" s="2">
        <f t="shared" si="31"/>
        <v>0</v>
      </c>
    </row>
    <row r="1021" spans="3:17" x14ac:dyDescent="0.25">
      <c r="C1021" s="13" t="s">
        <v>2408</v>
      </c>
      <c r="D1021" s="13" t="s">
        <v>2161</v>
      </c>
      <c r="E1021" s="10">
        <v>1122911509</v>
      </c>
      <c r="F1021" t="s">
        <v>35</v>
      </c>
      <c r="G1021" t="s">
        <v>2410</v>
      </c>
      <c r="H1021" s="14">
        <v>6</v>
      </c>
      <c r="I1021" s="10" t="s">
        <v>28</v>
      </c>
      <c r="J1021" s="1">
        <v>45586</v>
      </c>
      <c r="K1021" s="1">
        <v>45616</v>
      </c>
      <c r="L1021" s="25">
        <f ca="1">CLIENTES[[#This Row],[Fecha Vencimiento]]-$J$6</f>
        <v>21</v>
      </c>
      <c r="N1021" s="1" t="str">
        <f t="shared" ca="1" si="32"/>
        <v>Al dia</v>
      </c>
      <c r="O1021" s="19"/>
      <c r="P1021" s="2"/>
      <c r="Q1021" s="2">
        <f t="shared" si="31"/>
        <v>0</v>
      </c>
    </row>
    <row r="1022" spans="3:17" x14ac:dyDescent="0.25">
      <c r="C1022" s="13" t="s">
        <v>2411</v>
      </c>
      <c r="D1022" s="13" t="s">
        <v>1801</v>
      </c>
      <c r="E1022" s="10">
        <v>1167221903</v>
      </c>
      <c r="F1022" t="s">
        <v>35</v>
      </c>
      <c r="G1022" t="s">
        <v>2412</v>
      </c>
      <c r="H1022" s="14">
        <v>4</v>
      </c>
      <c r="I1022" s="10" t="s">
        <v>28</v>
      </c>
      <c r="J1022" s="1">
        <v>45563</v>
      </c>
      <c r="K1022" s="1">
        <v>45589</v>
      </c>
      <c r="L1022" s="25">
        <f ca="1">CLIENTES[[#This Row],[Fecha Vencimiento]]-$J$6</f>
        <v>-6</v>
      </c>
      <c r="N1022" s="1" t="str">
        <f t="shared" ca="1" si="32"/>
        <v>Vencido</v>
      </c>
      <c r="O1022" s="19"/>
      <c r="P1022" s="2"/>
      <c r="Q1022" s="2">
        <f t="shared" si="31"/>
        <v>0</v>
      </c>
    </row>
    <row r="1023" spans="3:17" x14ac:dyDescent="0.25">
      <c r="C1023" s="13" t="s">
        <v>2413</v>
      </c>
      <c r="D1023" s="13" t="s">
        <v>2414</v>
      </c>
      <c r="E1023" s="10">
        <v>1150471457</v>
      </c>
      <c r="F1023" t="s">
        <v>232</v>
      </c>
      <c r="G1023" t="s">
        <v>2415</v>
      </c>
      <c r="H1023" s="14">
        <v>3</v>
      </c>
      <c r="I1023" s="10" t="s">
        <v>79</v>
      </c>
      <c r="J1023" s="1">
        <v>45555</v>
      </c>
      <c r="K1023" s="1">
        <v>45583</v>
      </c>
      <c r="L1023" s="25">
        <f ca="1">CLIENTES[[#This Row],[Fecha Vencimiento]]-$J$6</f>
        <v>-12</v>
      </c>
      <c r="N1023" s="1" t="str">
        <f t="shared" ca="1" si="32"/>
        <v>Vencido</v>
      </c>
      <c r="O1023" s="19"/>
      <c r="P1023" s="2"/>
      <c r="Q1023" s="2">
        <f t="shared" si="31"/>
        <v>0</v>
      </c>
    </row>
    <row r="1024" spans="3:17" x14ac:dyDescent="0.25">
      <c r="C1024" s="13" t="s">
        <v>2413</v>
      </c>
      <c r="D1024" s="13" t="s">
        <v>2416</v>
      </c>
      <c r="E1024" s="10" t="s">
        <v>3132</v>
      </c>
      <c r="F1024" t="s">
        <v>35</v>
      </c>
      <c r="G1024" t="s">
        <v>2417</v>
      </c>
      <c r="H1024" s="14">
        <v>2</v>
      </c>
      <c r="I1024" s="10" t="s">
        <v>28</v>
      </c>
      <c r="J1024" s="1">
        <v>45552</v>
      </c>
      <c r="K1024" s="1">
        <v>45600</v>
      </c>
      <c r="L1024" s="25">
        <f ca="1">CLIENTES[[#This Row],[Fecha Vencimiento]]-$J$6</f>
        <v>5</v>
      </c>
      <c r="N1024" s="1" t="str">
        <f t="shared" ca="1" si="32"/>
        <v>Al dia</v>
      </c>
      <c r="O1024" s="19">
        <v>45539</v>
      </c>
      <c r="P1024" s="2"/>
      <c r="Q1024" s="2">
        <f t="shared" si="31"/>
        <v>-45539</v>
      </c>
    </row>
    <row r="1025" spans="3:17" x14ac:dyDescent="0.25">
      <c r="C1025" s="13" t="s">
        <v>2413</v>
      </c>
      <c r="D1025" s="13" t="s">
        <v>1015</v>
      </c>
      <c r="E1025" s="10">
        <v>1136158559</v>
      </c>
      <c r="F1025" t="s">
        <v>159</v>
      </c>
      <c r="G1025" t="s">
        <v>2418</v>
      </c>
      <c r="H1025" s="14">
        <v>3</v>
      </c>
      <c r="I1025" s="10" t="s">
        <v>183</v>
      </c>
      <c r="J1025" s="1">
        <v>45591</v>
      </c>
      <c r="K1025" s="1">
        <v>45622</v>
      </c>
      <c r="L1025" s="25">
        <f ca="1">CLIENTES[[#This Row],[Fecha Vencimiento]]-$J$6</f>
        <v>27</v>
      </c>
      <c r="N1025" s="1" t="str">
        <f t="shared" ca="1" si="32"/>
        <v>Al dia</v>
      </c>
      <c r="O1025" s="19">
        <v>45530</v>
      </c>
      <c r="P1025" s="2"/>
      <c r="Q1025" s="2">
        <f t="shared" si="31"/>
        <v>-45530</v>
      </c>
    </row>
    <row r="1026" spans="3:17" x14ac:dyDescent="0.25">
      <c r="C1026" s="13" t="s">
        <v>2413</v>
      </c>
      <c r="D1026" s="13" t="s">
        <v>2419</v>
      </c>
      <c r="E1026" s="10">
        <v>1122342719</v>
      </c>
      <c r="F1026" t="s">
        <v>35</v>
      </c>
      <c r="G1026" t="s">
        <v>2420</v>
      </c>
      <c r="H1026" s="14">
        <v>4</v>
      </c>
      <c r="I1026" s="10" t="s">
        <v>28</v>
      </c>
      <c r="J1026" s="1">
        <v>45584</v>
      </c>
      <c r="K1026" s="1">
        <v>45601</v>
      </c>
      <c r="L1026" s="25">
        <f ca="1">CLIENTES[[#This Row],[Fecha Vencimiento]]-$J$6</f>
        <v>6</v>
      </c>
      <c r="N1026" s="1" t="str">
        <f t="shared" ca="1" si="32"/>
        <v>Al dia</v>
      </c>
      <c r="O1026" s="19"/>
      <c r="P1026" s="2"/>
      <c r="Q1026" s="2">
        <f t="shared" si="31"/>
        <v>0</v>
      </c>
    </row>
    <row r="1027" spans="3:17" x14ac:dyDescent="0.25">
      <c r="C1027" s="13" t="s">
        <v>2413</v>
      </c>
      <c r="D1027" s="13" t="s">
        <v>2421</v>
      </c>
      <c r="E1027" s="10">
        <v>1124274998</v>
      </c>
      <c r="F1027" t="s">
        <v>35</v>
      </c>
      <c r="G1027" t="s">
        <v>2422</v>
      </c>
      <c r="H1027" s="14">
        <v>4</v>
      </c>
      <c r="I1027" s="10" t="s">
        <v>28</v>
      </c>
      <c r="J1027" s="1">
        <v>45579</v>
      </c>
      <c r="K1027" s="1">
        <v>45611</v>
      </c>
      <c r="L1027" s="25">
        <f ca="1">CLIENTES[[#This Row],[Fecha Vencimiento]]-$J$6</f>
        <v>16</v>
      </c>
      <c r="N1027" s="1" t="str">
        <f t="shared" ca="1" si="32"/>
        <v>Al dia</v>
      </c>
      <c r="O1027" s="19"/>
      <c r="P1027" s="2"/>
      <c r="Q1027" s="2">
        <f t="shared" si="31"/>
        <v>0</v>
      </c>
    </row>
    <row r="1028" spans="3:17" x14ac:dyDescent="0.25">
      <c r="C1028" s="13" t="s">
        <v>2413</v>
      </c>
      <c r="D1028" s="13" t="s">
        <v>2423</v>
      </c>
      <c r="F1028" t="s">
        <v>35</v>
      </c>
      <c r="G1028" t="s">
        <v>2424</v>
      </c>
      <c r="I1028" s="10" t="s">
        <v>28</v>
      </c>
      <c r="J1028" s="1">
        <v>45453</v>
      </c>
      <c r="K1028" s="1">
        <v>45483</v>
      </c>
      <c r="L1028" s="25">
        <f ca="1">CLIENTES[[#This Row],[Fecha Vencimiento]]-$J$6</f>
        <v>-112</v>
      </c>
      <c r="N1028" s="1" t="str">
        <f t="shared" ca="1" si="32"/>
        <v>Vencido</v>
      </c>
      <c r="O1028" s="19"/>
      <c r="P1028" s="2"/>
      <c r="Q1028" s="2">
        <f t="shared" si="31"/>
        <v>0</v>
      </c>
    </row>
    <row r="1029" spans="3:17" x14ac:dyDescent="0.25">
      <c r="C1029" s="13" t="s">
        <v>2413</v>
      </c>
      <c r="D1029" s="13" t="s">
        <v>2425</v>
      </c>
      <c r="E1029" s="10" t="s">
        <v>2931</v>
      </c>
      <c r="F1029" t="s">
        <v>35</v>
      </c>
      <c r="G1029" t="s">
        <v>2426</v>
      </c>
      <c r="H1029" s="14">
        <v>4</v>
      </c>
      <c r="I1029" s="10" t="s">
        <v>28</v>
      </c>
      <c r="J1029" s="1">
        <v>45553</v>
      </c>
      <c r="K1029" s="1">
        <v>45582</v>
      </c>
      <c r="L1029" s="25">
        <f ca="1">CLIENTES[[#This Row],[Fecha Vencimiento]]-$J$6</f>
        <v>-13</v>
      </c>
      <c r="N1029" s="1" t="str">
        <f t="shared" ca="1" si="32"/>
        <v>Vencido</v>
      </c>
      <c r="O1029" s="19"/>
      <c r="P1029" s="2"/>
      <c r="Q1029" s="2">
        <f t="shared" si="31"/>
        <v>0</v>
      </c>
    </row>
    <row r="1030" spans="3:17" x14ac:dyDescent="0.25">
      <c r="C1030" s="13" t="s">
        <v>2413</v>
      </c>
      <c r="D1030" s="13" t="s">
        <v>622</v>
      </c>
      <c r="F1030" t="s">
        <v>35</v>
      </c>
      <c r="G1030" t="s">
        <v>2415</v>
      </c>
      <c r="I1030" s="10" t="s">
        <v>28</v>
      </c>
      <c r="J1030" s="1">
        <v>45464</v>
      </c>
      <c r="K1030" s="1">
        <v>45493</v>
      </c>
      <c r="L1030" s="25">
        <f ca="1">CLIENTES[[#This Row],[Fecha Vencimiento]]-$J$6</f>
        <v>-102</v>
      </c>
      <c r="N1030" s="1" t="str">
        <f t="shared" ca="1" si="32"/>
        <v>Vencido</v>
      </c>
      <c r="O1030" s="19"/>
      <c r="P1030" s="2"/>
      <c r="Q1030" s="2">
        <f t="shared" si="31"/>
        <v>0</v>
      </c>
    </row>
    <row r="1031" spans="3:17" x14ac:dyDescent="0.25">
      <c r="C1031" s="13" t="s">
        <v>2413</v>
      </c>
      <c r="D1031" s="13" t="s">
        <v>2423</v>
      </c>
      <c r="E1031" s="10">
        <v>1168662227</v>
      </c>
      <c r="F1031" t="s">
        <v>35</v>
      </c>
      <c r="G1031" t="s">
        <v>2427</v>
      </c>
      <c r="H1031" s="14">
        <v>3</v>
      </c>
      <c r="I1031" s="10" t="s">
        <v>28</v>
      </c>
      <c r="J1031" s="1">
        <v>45589</v>
      </c>
      <c r="K1031" s="1">
        <v>45620</v>
      </c>
      <c r="L1031" s="25">
        <f ca="1">CLIENTES[[#This Row],[Fecha Vencimiento]]-$J$6</f>
        <v>25</v>
      </c>
      <c r="N1031" s="1" t="str">
        <f t="shared" ca="1" si="32"/>
        <v>Al dia</v>
      </c>
      <c r="O1031" s="19"/>
      <c r="P1031" s="2"/>
      <c r="Q1031" s="2">
        <f t="shared" si="31"/>
        <v>0</v>
      </c>
    </row>
    <row r="1032" spans="3:17" ht="30" x14ac:dyDescent="0.25">
      <c r="C1032" s="13" t="s">
        <v>2428</v>
      </c>
      <c r="D1032" s="13" t="s">
        <v>2429</v>
      </c>
      <c r="E1032" s="34" t="s">
        <v>3133</v>
      </c>
      <c r="F1032" t="s">
        <v>35</v>
      </c>
      <c r="G1032" t="s">
        <v>2430</v>
      </c>
      <c r="H1032" s="14">
        <v>3</v>
      </c>
      <c r="I1032" s="10" t="s">
        <v>28</v>
      </c>
      <c r="J1032" s="1">
        <v>45569</v>
      </c>
      <c r="K1032" s="1">
        <v>45598</v>
      </c>
      <c r="L1032" s="25">
        <f ca="1">CLIENTES[[#This Row],[Fecha Vencimiento]]-$J$6</f>
        <v>3</v>
      </c>
      <c r="N1032" s="1" t="str">
        <f t="shared" ca="1" si="32"/>
        <v>Por vencer</v>
      </c>
      <c r="O1032" s="19"/>
      <c r="P1032" s="2"/>
      <c r="Q1032" s="2">
        <f t="shared" ref="Q1032:Q1095" si="33">P1032-O1032</f>
        <v>0</v>
      </c>
    </row>
    <row r="1033" spans="3:17" x14ac:dyDescent="0.25">
      <c r="C1033" s="13" t="s">
        <v>2431</v>
      </c>
      <c r="D1033" s="13" t="s">
        <v>2432</v>
      </c>
      <c r="E1033" s="10">
        <v>1158542450</v>
      </c>
      <c r="F1033" t="s">
        <v>35</v>
      </c>
      <c r="G1033" t="s">
        <v>2433</v>
      </c>
      <c r="H1033" s="14">
        <v>1</v>
      </c>
      <c r="I1033" s="10" t="s">
        <v>28</v>
      </c>
      <c r="J1033" s="1">
        <v>45527</v>
      </c>
      <c r="K1033" s="1">
        <v>45558</v>
      </c>
      <c r="L1033" s="25">
        <f ca="1">CLIENTES[[#This Row],[Fecha Vencimiento]]-$J$6</f>
        <v>-37</v>
      </c>
      <c r="N1033" s="1" t="str">
        <f t="shared" ca="1" si="32"/>
        <v>Vencido</v>
      </c>
      <c r="O1033" s="19">
        <v>45527</v>
      </c>
      <c r="P1033" s="2"/>
      <c r="Q1033" s="2">
        <f t="shared" si="33"/>
        <v>-45527</v>
      </c>
    </row>
    <row r="1034" spans="3:17" x14ac:dyDescent="0.25">
      <c r="C1034" s="13" t="s">
        <v>2434</v>
      </c>
      <c r="D1034" s="13" t="s">
        <v>2435</v>
      </c>
      <c r="F1034" t="s">
        <v>159</v>
      </c>
      <c r="G1034" t="s">
        <v>2436</v>
      </c>
      <c r="H1034" s="14">
        <v>6</v>
      </c>
      <c r="I1034" s="10" t="s">
        <v>183</v>
      </c>
      <c r="J1034" s="1">
        <v>45518</v>
      </c>
      <c r="K1034" s="1">
        <v>45548</v>
      </c>
      <c r="L1034" s="25">
        <f ca="1">CLIENTES[[#This Row],[Fecha Vencimiento]]-$J$6</f>
        <v>-47</v>
      </c>
      <c r="N1034" s="1" t="str">
        <f t="shared" ca="1" si="32"/>
        <v>Vencido</v>
      </c>
      <c r="O1034" s="19"/>
      <c r="P1034" s="2"/>
      <c r="Q1034" s="2">
        <f t="shared" si="33"/>
        <v>0</v>
      </c>
    </row>
    <row r="1035" spans="3:17" x14ac:dyDescent="0.25">
      <c r="C1035" s="13" t="s">
        <v>2434</v>
      </c>
      <c r="D1035" s="13" t="s">
        <v>2437</v>
      </c>
      <c r="E1035" s="10">
        <v>1154959440</v>
      </c>
      <c r="F1035" t="s">
        <v>35</v>
      </c>
      <c r="G1035" t="s">
        <v>2438</v>
      </c>
      <c r="H1035" s="14">
        <v>3</v>
      </c>
      <c r="I1035" s="10" t="s">
        <v>28</v>
      </c>
      <c r="J1035" s="1">
        <v>45572</v>
      </c>
      <c r="K1035" s="1">
        <v>45606</v>
      </c>
      <c r="L1035" s="25">
        <f ca="1">CLIENTES[[#This Row],[Fecha Vencimiento]]-$J$6</f>
        <v>11</v>
      </c>
      <c r="N1035" s="1" t="str">
        <f t="shared" ca="1" si="32"/>
        <v>Al dia</v>
      </c>
      <c r="O1035" s="19"/>
      <c r="P1035" s="2"/>
      <c r="Q1035" s="2">
        <f t="shared" si="33"/>
        <v>0</v>
      </c>
    </row>
    <row r="1036" spans="3:17" x14ac:dyDescent="0.25">
      <c r="C1036" s="13" t="s">
        <v>2439</v>
      </c>
      <c r="D1036" s="13" t="s">
        <v>374</v>
      </c>
      <c r="F1036" t="s">
        <v>159</v>
      </c>
      <c r="G1036" t="s">
        <v>2440</v>
      </c>
      <c r="H1036" s="14">
        <v>5</v>
      </c>
      <c r="I1036" s="10" t="s">
        <v>75</v>
      </c>
      <c r="J1036" s="1">
        <v>45519</v>
      </c>
      <c r="K1036" s="1">
        <v>45539</v>
      </c>
      <c r="L1036" s="25">
        <f ca="1">CLIENTES[[#This Row],[Fecha Vencimiento]]-$J$6</f>
        <v>-56</v>
      </c>
      <c r="N1036" s="1" t="str">
        <f t="shared" ca="1" si="32"/>
        <v>Vencido</v>
      </c>
      <c r="O1036" s="19"/>
      <c r="P1036" s="2"/>
      <c r="Q1036" s="2">
        <f t="shared" si="33"/>
        <v>0</v>
      </c>
    </row>
    <row r="1037" spans="3:17" x14ac:dyDescent="0.25">
      <c r="C1037" s="13" t="s">
        <v>2439</v>
      </c>
      <c r="D1037" s="13" t="s">
        <v>51</v>
      </c>
      <c r="E1037" s="10">
        <v>1141917234</v>
      </c>
      <c r="F1037" t="s">
        <v>35</v>
      </c>
      <c r="G1037" t="s">
        <v>2441</v>
      </c>
      <c r="H1037" s="14">
        <v>6</v>
      </c>
      <c r="I1037" s="10" t="s">
        <v>28</v>
      </c>
      <c r="J1037" s="1">
        <v>45567</v>
      </c>
      <c r="K1037" s="1">
        <v>45589</v>
      </c>
      <c r="L1037" s="25">
        <f ca="1">CLIENTES[[#This Row],[Fecha Vencimiento]]-$J$6</f>
        <v>-6</v>
      </c>
      <c r="N1037" s="1" t="str">
        <f t="shared" ca="1" si="32"/>
        <v>Vencido</v>
      </c>
      <c r="O1037" s="19"/>
      <c r="P1037" s="2"/>
      <c r="Q1037" s="2">
        <f t="shared" si="33"/>
        <v>0</v>
      </c>
    </row>
    <row r="1038" spans="3:17" x14ac:dyDescent="0.25">
      <c r="C1038" s="13" t="s">
        <v>2439</v>
      </c>
      <c r="D1038" s="13" t="s">
        <v>374</v>
      </c>
      <c r="F1038" t="s">
        <v>159</v>
      </c>
      <c r="G1038" t="s">
        <v>2442</v>
      </c>
      <c r="H1038" s="14">
        <v>1</v>
      </c>
      <c r="I1038" s="10" t="s">
        <v>718</v>
      </c>
      <c r="J1038" s="1">
        <v>45565</v>
      </c>
      <c r="K1038" s="1">
        <v>45595</v>
      </c>
      <c r="L1038" s="25">
        <f ca="1">CLIENTES[[#This Row],[Fecha Vencimiento]]-$J$6</f>
        <v>0</v>
      </c>
      <c r="N1038" s="1" t="str">
        <f t="shared" ca="1" si="32"/>
        <v>Vence hoy</v>
      </c>
      <c r="O1038" s="19">
        <v>45565</v>
      </c>
      <c r="P1038" s="2"/>
      <c r="Q1038" s="2">
        <f t="shared" si="33"/>
        <v>-45565</v>
      </c>
    </row>
    <row r="1039" spans="3:17" x14ac:dyDescent="0.25">
      <c r="C1039" s="13" t="s">
        <v>2439</v>
      </c>
      <c r="D1039" s="13" t="s">
        <v>374</v>
      </c>
      <c r="F1039" t="s">
        <v>35</v>
      </c>
      <c r="G1039" t="s">
        <v>2443</v>
      </c>
      <c r="H1039" s="14">
        <v>1</v>
      </c>
      <c r="I1039" s="10" t="s">
        <v>28</v>
      </c>
      <c r="J1039" s="1">
        <v>45569</v>
      </c>
      <c r="K1039" s="1">
        <v>45600</v>
      </c>
      <c r="L1039" s="25">
        <f ca="1">CLIENTES[[#This Row],[Fecha Vencimiento]]-$J$6</f>
        <v>5</v>
      </c>
      <c r="N1039" s="1" t="str">
        <f t="shared" ca="1" si="32"/>
        <v>Al dia</v>
      </c>
      <c r="O1039" s="19">
        <v>45569</v>
      </c>
      <c r="P1039" s="2"/>
      <c r="Q1039" s="2">
        <f t="shared" si="33"/>
        <v>-45569</v>
      </c>
    </row>
    <row r="1040" spans="3:17" x14ac:dyDescent="0.25">
      <c r="C1040" s="13" t="s">
        <v>2444</v>
      </c>
      <c r="D1040" s="13" t="s">
        <v>1385</v>
      </c>
      <c r="F1040" t="s">
        <v>35</v>
      </c>
      <c r="G1040" t="s">
        <v>2445</v>
      </c>
      <c r="I1040" s="10" t="s">
        <v>28</v>
      </c>
      <c r="J1040" s="1">
        <v>45463</v>
      </c>
      <c r="K1040" s="1">
        <v>45493</v>
      </c>
      <c r="L1040" s="25">
        <f ca="1">CLIENTES[[#This Row],[Fecha Vencimiento]]-$J$6</f>
        <v>-102</v>
      </c>
      <c r="N1040" s="1" t="str">
        <f t="shared" ca="1" si="32"/>
        <v>Vencido</v>
      </c>
      <c r="O1040" s="19"/>
      <c r="P1040" s="2"/>
      <c r="Q1040" s="2">
        <f t="shared" si="33"/>
        <v>0</v>
      </c>
    </row>
    <row r="1041" spans="3:17" x14ac:dyDescent="0.25">
      <c r="C1041" s="13" t="s">
        <v>2446</v>
      </c>
      <c r="D1041" s="13" t="s">
        <v>2447</v>
      </c>
      <c r="F1041" t="s">
        <v>35</v>
      </c>
      <c r="G1041" t="s">
        <v>2448</v>
      </c>
      <c r="H1041" s="14">
        <v>6</v>
      </c>
      <c r="I1041" s="10" t="s">
        <v>28</v>
      </c>
      <c r="J1041" s="1">
        <v>45573</v>
      </c>
      <c r="K1041" s="1">
        <v>45604</v>
      </c>
      <c r="L1041" s="25">
        <f ca="1">CLIENTES[[#This Row],[Fecha Vencimiento]]-$J$6</f>
        <v>9</v>
      </c>
      <c r="N1041" s="1" t="str">
        <f t="shared" ca="1" si="32"/>
        <v>Al dia</v>
      </c>
      <c r="O1041" s="19"/>
      <c r="P1041" s="2"/>
      <c r="Q1041" s="2">
        <f t="shared" si="33"/>
        <v>0</v>
      </c>
    </row>
    <row r="1042" spans="3:17" x14ac:dyDescent="0.25">
      <c r="C1042" s="13" t="s">
        <v>2449</v>
      </c>
      <c r="D1042" s="13" t="s">
        <v>2450</v>
      </c>
      <c r="E1042" s="10" t="s">
        <v>2931</v>
      </c>
      <c r="F1042" t="s">
        <v>35</v>
      </c>
      <c r="G1042" t="s">
        <v>2451</v>
      </c>
      <c r="H1042" s="14">
        <v>5</v>
      </c>
      <c r="I1042" s="10" t="s">
        <v>28</v>
      </c>
      <c r="J1042" s="1">
        <v>45573</v>
      </c>
      <c r="K1042" s="1">
        <v>45591</v>
      </c>
      <c r="L1042" s="25">
        <f ca="1">CLIENTES[[#This Row],[Fecha Vencimiento]]-$J$6</f>
        <v>-4</v>
      </c>
      <c r="N1042" s="1" t="str">
        <f t="shared" ca="1" si="32"/>
        <v>Vencido</v>
      </c>
      <c r="O1042" s="19"/>
      <c r="P1042" s="2"/>
      <c r="Q1042" s="2">
        <f t="shared" si="33"/>
        <v>0</v>
      </c>
    </row>
    <row r="1043" spans="3:17" x14ac:dyDescent="0.25">
      <c r="C1043" s="13" t="s">
        <v>2452</v>
      </c>
      <c r="D1043" s="13" t="s">
        <v>1139</v>
      </c>
      <c r="E1043" s="10">
        <v>1164314043</v>
      </c>
      <c r="F1043" t="s">
        <v>35</v>
      </c>
      <c r="G1043" t="s">
        <v>2453</v>
      </c>
      <c r="H1043" s="14">
        <v>6</v>
      </c>
      <c r="I1043" s="10" t="s">
        <v>28</v>
      </c>
      <c r="J1043" s="1">
        <v>45552</v>
      </c>
      <c r="K1043" s="1">
        <v>45580</v>
      </c>
      <c r="L1043" s="25">
        <f ca="1">CLIENTES[[#This Row],[Fecha Vencimiento]]-$J$6</f>
        <v>-15</v>
      </c>
      <c r="N1043" s="1" t="str">
        <f t="shared" ca="1" si="32"/>
        <v>Vencido</v>
      </c>
      <c r="O1043" s="19"/>
      <c r="P1043" s="2"/>
      <c r="Q1043" s="2">
        <f t="shared" si="33"/>
        <v>0</v>
      </c>
    </row>
    <row r="1044" spans="3:17" x14ac:dyDescent="0.25">
      <c r="C1044" s="13" t="s">
        <v>2452</v>
      </c>
      <c r="D1044" s="13" t="s">
        <v>1139</v>
      </c>
      <c r="F1044" t="s">
        <v>35</v>
      </c>
      <c r="G1044" t="s">
        <v>2454</v>
      </c>
      <c r="H1044" s="14">
        <v>1</v>
      </c>
      <c r="I1044" s="10" t="s">
        <v>28</v>
      </c>
      <c r="J1044" s="1">
        <v>45569</v>
      </c>
      <c r="K1044" s="1">
        <v>45600</v>
      </c>
      <c r="L1044" s="25">
        <f ca="1">CLIENTES[[#This Row],[Fecha Vencimiento]]-$J$6</f>
        <v>5</v>
      </c>
      <c r="N1044" s="1" t="str">
        <f t="shared" ca="1" si="32"/>
        <v>Al dia</v>
      </c>
      <c r="O1044" s="19">
        <v>45569</v>
      </c>
      <c r="P1044" s="2"/>
      <c r="Q1044" s="2">
        <f t="shared" si="33"/>
        <v>-45569</v>
      </c>
    </row>
    <row r="1045" spans="3:17" x14ac:dyDescent="0.25">
      <c r="C1045" s="13" t="s">
        <v>2455</v>
      </c>
      <c r="D1045" s="13" t="s">
        <v>2456</v>
      </c>
      <c r="F1045" t="s">
        <v>35</v>
      </c>
      <c r="G1045" s="1" t="s">
        <v>2457</v>
      </c>
      <c r="H1045" s="14">
        <v>5</v>
      </c>
      <c r="I1045" s="16" t="s">
        <v>28</v>
      </c>
      <c r="J1045" s="1">
        <v>45570</v>
      </c>
      <c r="K1045" s="1">
        <v>45602</v>
      </c>
      <c r="L1045" s="25">
        <f ca="1">CLIENTES[[#This Row],[Fecha Vencimiento]]-$J$6</f>
        <v>7</v>
      </c>
      <c r="N1045" s="1" t="str">
        <f t="shared" ca="1" si="32"/>
        <v>Al dia</v>
      </c>
      <c r="O1045" s="19"/>
      <c r="P1045" s="2"/>
      <c r="Q1045" s="2">
        <f t="shared" si="33"/>
        <v>0</v>
      </c>
    </row>
    <row r="1046" spans="3:17" x14ac:dyDescent="0.25">
      <c r="C1046" s="13" t="s">
        <v>2455</v>
      </c>
      <c r="D1046" s="13" t="s">
        <v>2458</v>
      </c>
      <c r="E1046" s="10">
        <v>1159157617</v>
      </c>
      <c r="F1046" t="s">
        <v>35</v>
      </c>
      <c r="G1046" t="s">
        <v>2459</v>
      </c>
      <c r="H1046" s="14">
        <v>3</v>
      </c>
      <c r="I1046" s="10" t="s">
        <v>28</v>
      </c>
      <c r="J1046" s="1">
        <v>45568</v>
      </c>
      <c r="K1046" s="1">
        <v>45597</v>
      </c>
      <c r="L1046" s="25">
        <f ca="1">CLIENTES[[#This Row],[Fecha Vencimiento]]-$J$6</f>
        <v>2</v>
      </c>
      <c r="N1046" s="1" t="str">
        <f t="shared" ca="1" si="32"/>
        <v>Por vencer</v>
      </c>
      <c r="O1046" s="19"/>
      <c r="P1046" s="2"/>
      <c r="Q1046" s="2">
        <f t="shared" si="33"/>
        <v>0</v>
      </c>
    </row>
    <row r="1047" spans="3:17" x14ac:dyDescent="0.25">
      <c r="C1047" s="13" t="s">
        <v>2460</v>
      </c>
      <c r="D1047" s="13" t="s">
        <v>2461</v>
      </c>
      <c r="F1047" t="s">
        <v>35</v>
      </c>
      <c r="G1047" t="s">
        <v>2462</v>
      </c>
      <c r="I1047" s="10" t="s">
        <v>28</v>
      </c>
      <c r="J1047" s="1">
        <v>45493</v>
      </c>
      <c r="K1047" s="1">
        <v>45524</v>
      </c>
      <c r="L1047" s="25">
        <f ca="1">CLIENTES[[#This Row],[Fecha Vencimiento]]-$J$6</f>
        <v>-71</v>
      </c>
      <c r="N1047" s="1" t="str">
        <f t="shared" ca="1" si="32"/>
        <v>Vencido</v>
      </c>
      <c r="O1047" s="19"/>
      <c r="P1047" s="2"/>
      <c r="Q1047" s="2">
        <f t="shared" si="33"/>
        <v>0</v>
      </c>
    </row>
    <row r="1048" spans="3:17" x14ac:dyDescent="0.25">
      <c r="C1048" s="13" t="s">
        <v>2455</v>
      </c>
      <c r="D1048" s="13" t="s">
        <v>2456</v>
      </c>
      <c r="E1048" s="10">
        <v>1139066984</v>
      </c>
      <c r="F1048" t="s">
        <v>35</v>
      </c>
      <c r="G1048" t="s">
        <v>2463</v>
      </c>
      <c r="H1048" s="14">
        <v>2</v>
      </c>
      <c r="I1048" s="10" t="s">
        <v>28</v>
      </c>
      <c r="J1048" s="1">
        <v>45570</v>
      </c>
      <c r="K1048" s="1">
        <v>45619</v>
      </c>
      <c r="L1048" s="25">
        <f ca="1">CLIENTES[[#This Row],[Fecha Vencimiento]]-$J$6</f>
        <v>24</v>
      </c>
      <c r="N1048" s="1" t="str">
        <f t="shared" ca="1" si="32"/>
        <v>Al dia</v>
      </c>
      <c r="O1048" s="19"/>
      <c r="P1048" s="2"/>
      <c r="Q1048" s="2">
        <f t="shared" si="33"/>
        <v>0</v>
      </c>
    </row>
    <row r="1049" spans="3:17" x14ac:dyDescent="0.25">
      <c r="C1049" s="13" t="s">
        <v>2455</v>
      </c>
      <c r="D1049" s="13" t="s">
        <v>2456</v>
      </c>
      <c r="E1049" s="10">
        <v>1139066984</v>
      </c>
      <c r="F1049" t="s">
        <v>35</v>
      </c>
      <c r="G1049" t="s">
        <v>2464</v>
      </c>
      <c r="H1049" s="14">
        <v>5</v>
      </c>
      <c r="I1049" s="10" t="s">
        <v>28</v>
      </c>
      <c r="J1049" s="1">
        <v>45570</v>
      </c>
      <c r="K1049" s="1">
        <v>45601</v>
      </c>
      <c r="L1049" s="25">
        <f ca="1">CLIENTES[[#This Row],[Fecha Vencimiento]]-$J$6</f>
        <v>6</v>
      </c>
      <c r="N1049" s="1" t="str">
        <f t="shared" ca="1" si="32"/>
        <v>Al dia</v>
      </c>
      <c r="O1049" s="19"/>
      <c r="P1049" s="2"/>
      <c r="Q1049" s="2">
        <f t="shared" si="33"/>
        <v>0</v>
      </c>
    </row>
    <row r="1050" spans="3:17" x14ac:dyDescent="0.25">
      <c r="C1050" t="s">
        <v>2465</v>
      </c>
      <c r="D1050" t="s">
        <v>1513</v>
      </c>
      <c r="E1050" s="10">
        <v>1168053101</v>
      </c>
      <c r="F1050" t="s">
        <v>35</v>
      </c>
      <c r="G1050" t="s">
        <v>2466</v>
      </c>
      <c r="H1050" s="14">
        <v>1</v>
      </c>
      <c r="I1050" s="10" t="s">
        <v>28</v>
      </c>
      <c r="J1050" s="1">
        <v>45583</v>
      </c>
      <c r="K1050" s="1">
        <v>45614</v>
      </c>
      <c r="L1050" s="25">
        <f ca="1">CLIENTES[[#This Row],[Fecha Vencimiento]]-$J$6</f>
        <v>19</v>
      </c>
      <c r="N1050" s="1" t="str">
        <f t="shared" ca="1" si="32"/>
        <v>Al dia</v>
      </c>
      <c r="O1050" s="19">
        <v>45553</v>
      </c>
      <c r="P1050" s="2"/>
      <c r="Q1050" s="2">
        <f t="shared" si="33"/>
        <v>-45553</v>
      </c>
    </row>
    <row r="1051" spans="3:17" x14ac:dyDescent="0.25">
      <c r="C1051" s="13" t="s">
        <v>2467</v>
      </c>
      <c r="D1051" s="13" t="s">
        <v>2468</v>
      </c>
      <c r="E1051" s="10" t="s">
        <v>3114</v>
      </c>
      <c r="F1051" t="s">
        <v>35</v>
      </c>
      <c r="G1051" t="s">
        <v>2469</v>
      </c>
      <c r="I1051" s="10" t="s">
        <v>28</v>
      </c>
      <c r="J1051" s="1">
        <v>45511</v>
      </c>
      <c r="K1051" s="1">
        <v>45542</v>
      </c>
      <c r="L1051" s="25">
        <f ca="1">CLIENTES[[#This Row],[Fecha Vencimiento]]-$J$6</f>
        <v>-53</v>
      </c>
      <c r="N1051" s="1" t="str">
        <f t="shared" ca="1" si="32"/>
        <v>Vencido</v>
      </c>
      <c r="O1051" s="19"/>
      <c r="P1051" s="2"/>
      <c r="Q1051" s="2">
        <f t="shared" si="33"/>
        <v>0</v>
      </c>
    </row>
    <row r="1052" spans="3:17" x14ac:dyDescent="0.25">
      <c r="C1052" s="13" t="s">
        <v>2467</v>
      </c>
      <c r="D1052" s="13" t="s">
        <v>2468</v>
      </c>
      <c r="E1052" s="10" t="s">
        <v>3114</v>
      </c>
      <c r="F1052" t="s">
        <v>35</v>
      </c>
      <c r="G1052" t="s">
        <v>2470</v>
      </c>
      <c r="I1052" s="10" t="s">
        <v>28</v>
      </c>
      <c r="J1052" s="1">
        <v>45511</v>
      </c>
      <c r="K1052" s="1">
        <v>45542</v>
      </c>
      <c r="L1052" s="25">
        <f ca="1">CLIENTES[[#This Row],[Fecha Vencimiento]]-$J$6</f>
        <v>-53</v>
      </c>
      <c r="N1052" s="1" t="str">
        <f t="shared" ca="1" si="32"/>
        <v>Vencido</v>
      </c>
      <c r="O1052" s="19"/>
      <c r="P1052" s="2"/>
      <c r="Q1052" s="2">
        <f t="shared" si="33"/>
        <v>0</v>
      </c>
    </row>
    <row r="1053" spans="3:17" x14ac:dyDescent="0.25">
      <c r="C1053" s="13" t="s">
        <v>2471</v>
      </c>
      <c r="D1053" s="13" t="s">
        <v>2472</v>
      </c>
      <c r="F1053" t="s">
        <v>35</v>
      </c>
      <c r="G1053" t="s">
        <v>2473</v>
      </c>
      <c r="I1053" s="10" t="s">
        <v>28</v>
      </c>
      <c r="J1053" s="1">
        <v>45455</v>
      </c>
      <c r="K1053" s="1">
        <v>45485</v>
      </c>
      <c r="L1053" s="25">
        <f ca="1">CLIENTES[[#This Row],[Fecha Vencimiento]]-$J$6</f>
        <v>-110</v>
      </c>
      <c r="N1053" s="1" t="str">
        <f t="shared" ca="1" si="32"/>
        <v>Vencido</v>
      </c>
      <c r="O1053" s="19"/>
      <c r="P1053" s="2"/>
      <c r="Q1053" s="2">
        <f t="shared" si="33"/>
        <v>0</v>
      </c>
    </row>
    <row r="1054" spans="3:17" x14ac:dyDescent="0.25">
      <c r="C1054" s="13" t="s">
        <v>2471</v>
      </c>
      <c r="D1054" s="13" t="s">
        <v>325</v>
      </c>
      <c r="E1054" s="10">
        <v>1164887360</v>
      </c>
      <c r="F1054" t="s">
        <v>35</v>
      </c>
      <c r="G1054" t="s">
        <v>2474</v>
      </c>
      <c r="H1054" s="14">
        <v>1</v>
      </c>
      <c r="I1054" s="10" t="s">
        <v>28</v>
      </c>
      <c r="J1054" s="1">
        <v>45561</v>
      </c>
      <c r="K1054" s="1">
        <v>45591</v>
      </c>
      <c r="L1054" s="25">
        <f ca="1">CLIENTES[[#This Row],[Fecha Vencimiento]]-$J$6</f>
        <v>-4</v>
      </c>
      <c r="N1054" s="1" t="str">
        <f t="shared" ca="1" si="32"/>
        <v>Vencido</v>
      </c>
      <c r="O1054" s="19">
        <v>45561</v>
      </c>
      <c r="P1054" s="2"/>
      <c r="Q1054" s="2">
        <f t="shared" si="33"/>
        <v>-45561</v>
      </c>
    </row>
    <row r="1055" spans="3:17" x14ac:dyDescent="0.25">
      <c r="C1055" s="13" t="s">
        <v>2475</v>
      </c>
      <c r="D1055" s="13" t="s">
        <v>2476</v>
      </c>
      <c r="F1055" t="s">
        <v>35</v>
      </c>
      <c r="G1055" t="s">
        <v>2477</v>
      </c>
      <c r="H1055" s="14">
        <v>1</v>
      </c>
      <c r="I1055" s="10" t="s">
        <v>28</v>
      </c>
      <c r="J1055" s="1">
        <v>45569</v>
      </c>
      <c r="K1055" s="1">
        <v>45600</v>
      </c>
      <c r="L1055" s="25">
        <f ca="1">CLIENTES[[#This Row],[Fecha Vencimiento]]-$J$6</f>
        <v>5</v>
      </c>
      <c r="N1055" s="1" t="str">
        <f t="shared" ca="1" si="32"/>
        <v>Al dia</v>
      </c>
      <c r="O1055" s="19">
        <v>45569</v>
      </c>
      <c r="P1055" s="2"/>
      <c r="Q1055" s="2">
        <f t="shared" si="33"/>
        <v>-45569</v>
      </c>
    </row>
    <row r="1056" spans="3:17" x14ac:dyDescent="0.25">
      <c r="C1056" s="13" t="s">
        <v>2478</v>
      </c>
      <c r="D1056" s="13" t="s">
        <v>990</v>
      </c>
      <c r="E1056" s="10">
        <v>1159701576</v>
      </c>
      <c r="F1056" t="s">
        <v>35</v>
      </c>
      <c r="G1056" t="s">
        <v>2479</v>
      </c>
      <c r="H1056" s="14">
        <v>4</v>
      </c>
      <c r="I1056" s="10" t="s">
        <v>28</v>
      </c>
      <c r="J1056" s="1">
        <v>45567</v>
      </c>
      <c r="K1056" s="1">
        <v>45600</v>
      </c>
      <c r="L1056" s="25">
        <f ca="1">CLIENTES[[#This Row],[Fecha Vencimiento]]-$J$6</f>
        <v>5</v>
      </c>
      <c r="N1056" s="1" t="str">
        <f t="shared" ca="1" si="32"/>
        <v>Al dia</v>
      </c>
      <c r="O1056" s="19"/>
      <c r="P1056" s="2"/>
      <c r="Q1056" s="2">
        <f t="shared" si="33"/>
        <v>0</v>
      </c>
    </row>
    <row r="1057" spans="3:17" x14ac:dyDescent="0.25">
      <c r="C1057" s="13" t="s">
        <v>2480</v>
      </c>
      <c r="D1057" s="13" t="s">
        <v>2481</v>
      </c>
      <c r="E1057" s="10">
        <v>1160173027</v>
      </c>
      <c r="F1057" t="s">
        <v>35</v>
      </c>
      <c r="G1057" t="s">
        <v>2482</v>
      </c>
      <c r="H1057" s="14">
        <v>1</v>
      </c>
      <c r="I1057" s="10" t="s">
        <v>28</v>
      </c>
      <c r="J1057" s="1">
        <v>45572</v>
      </c>
      <c r="K1057" s="1">
        <v>45606</v>
      </c>
      <c r="L1057" s="25">
        <f ca="1">CLIENTES[[#This Row],[Fecha Vencimiento]]-$J$6</f>
        <v>11</v>
      </c>
      <c r="N1057" s="1" t="str">
        <f t="shared" ca="1" si="32"/>
        <v>Al dia</v>
      </c>
      <c r="O1057" s="19"/>
      <c r="P1057" s="2"/>
      <c r="Q1057" s="2">
        <f t="shared" si="33"/>
        <v>0</v>
      </c>
    </row>
    <row r="1058" spans="3:17" x14ac:dyDescent="0.25">
      <c r="C1058" s="13" t="s">
        <v>2483</v>
      </c>
      <c r="D1058" s="13" t="s">
        <v>2484</v>
      </c>
      <c r="F1058" t="s">
        <v>35</v>
      </c>
      <c r="G1058" t="s">
        <v>2485</v>
      </c>
      <c r="H1058" s="14">
        <v>2</v>
      </c>
      <c r="I1058" s="10" t="s">
        <v>28</v>
      </c>
      <c r="J1058" s="1">
        <v>45588</v>
      </c>
      <c r="K1058" s="1">
        <v>45616</v>
      </c>
      <c r="L1058" s="25">
        <f ca="1">CLIENTES[[#This Row],[Fecha Vencimiento]]-$J$6</f>
        <v>21</v>
      </c>
      <c r="N1058" s="1" t="str">
        <f t="shared" ca="1" si="32"/>
        <v>Al dia</v>
      </c>
      <c r="O1058" s="19"/>
      <c r="P1058" s="2"/>
      <c r="Q1058" s="2">
        <f t="shared" si="33"/>
        <v>0</v>
      </c>
    </row>
    <row r="1059" spans="3:17" x14ac:dyDescent="0.25">
      <c r="C1059" s="13" t="s">
        <v>2486</v>
      </c>
      <c r="D1059" s="13" t="s">
        <v>2487</v>
      </c>
      <c r="F1059" t="s">
        <v>73</v>
      </c>
      <c r="G1059" t="s">
        <v>2488</v>
      </c>
      <c r="H1059" s="14">
        <v>3</v>
      </c>
      <c r="I1059" s="10" t="s">
        <v>75</v>
      </c>
      <c r="J1059" s="1">
        <v>45385</v>
      </c>
      <c r="K1059" s="1">
        <v>45414</v>
      </c>
      <c r="L1059" s="25">
        <f ca="1">CLIENTES[[#This Row],[Fecha Vencimiento]]-$J$6</f>
        <v>-181</v>
      </c>
      <c r="N1059" s="1" t="str">
        <f t="shared" ca="1" si="32"/>
        <v>Vencido</v>
      </c>
      <c r="O1059" s="19"/>
      <c r="P1059" s="2"/>
      <c r="Q1059" s="2">
        <f t="shared" si="33"/>
        <v>0</v>
      </c>
    </row>
    <row r="1060" spans="3:17" x14ac:dyDescent="0.25">
      <c r="C1060" s="13" t="s">
        <v>2486</v>
      </c>
      <c r="D1060" s="13" t="s">
        <v>2487</v>
      </c>
      <c r="F1060" t="s">
        <v>232</v>
      </c>
      <c r="G1060" t="s">
        <v>2489</v>
      </c>
      <c r="H1060" s="14">
        <v>4</v>
      </c>
      <c r="I1060" s="10" t="s">
        <v>28</v>
      </c>
      <c r="J1060" s="1">
        <v>45566</v>
      </c>
      <c r="K1060" s="1">
        <v>45604</v>
      </c>
      <c r="L1060" s="25">
        <f ca="1">CLIENTES[[#This Row],[Fecha Vencimiento]]-$J$6</f>
        <v>9</v>
      </c>
      <c r="N1060" s="1" t="str">
        <f t="shared" ca="1" si="32"/>
        <v>Al dia</v>
      </c>
      <c r="O1060" s="19"/>
      <c r="P1060" s="2"/>
      <c r="Q1060" s="2">
        <f t="shared" si="33"/>
        <v>0</v>
      </c>
    </row>
    <row r="1061" spans="3:17" x14ac:dyDescent="0.25">
      <c r="C1061" s="13" t="s">
        <v>2490</v>
      </c>
      <c r="D1061" s="13" t="s">
        <v>214</v>
      </c>
      <c r="E1061" s="10" t="s">
        <v>2931</v>
      </c>
      <c r="F1061" t="s">
        <v>35</v>
      </c>
      <c r="G1061" t="s">
        <v>2491</v>
      </c>
      <c r="H1061" s="14">
        <v>3</v>
      </c>
      <c r="I1061" s="10" t="s">
        <v>28</v>
      </c>
      <c r="J1061" s="1">
        <v>45561</v>
      </c>
      <c r="K1061" s="1">
        <v>45591</v>
      </c>
      <c r="L1061" s="25">
        <f ca="1">CLIENTES[[#This Row],[Fecha Vencimiento]]-$J$6</f>
        <v>-4</v>
      </c>
      <c r="N1061" s="1" t="str">
        <f t="shared" ca="1" si="32"/>
        <v>Vencido</v>
      </c>
      <c r="O1061" s="19"/>
      <c r="P1061" s="2"/>
      <c r="Q1061" s="2">
        <f t="shared" si="33"/>
        <v>0</v>
      </c>
    </row>
    <row r="1062" spans="3:17" x14ac:dyDescent="0.25">
      <c r="C1062" s="13" t="s">
        <v>2492</v>
      </c>
      <c r="D1062" s="13" t="s">
        <v>2493</v>
      </c>
      <c r="E1062" s="10">
        <v>1162998822</v>
      </c>
      <c r="F1062" t="s">
        <v>35</v>
      </c>
      <c r="G1062" t="s">
        <v>2494</v>
      </c>
      <c r="H1062" s="14">
        <v>2</v>
      </c>
      <c r="I1062" s="10" t="s">
        <v>28</v>
      </c>
      <c r="J1062" s="1">
        <v>45556</v>
      </c>
      <c r="K1062" s="1">
        <v>45586</v>
      </c>
      <c r="L1062" s="25">
        <f ca="1">CLIENTES[[#This Row],[Fecha Vencimiento]]-$J$6</f>
        <v>-9</v>
      </c>
      <c r="N1062" s="1" t="str">
        <f t="shared" ca="1" si="32"/>
        <v>Vencido</v>
      </c>
      <c r="O1062" s="19"/>
      <c r="P1062" s="2"/>
      <c r="Q1062" s="2">
        <f t="shared" si="33"/>
        <v>0</v>
      </c>
    </row>
    <row r="1063" spans="3:17" x14ac:dyDescent="0.25">
      <c r="C1063" s="13" t="s">
        <v>2492</v>
      </c>
      <c r="D1063" s="13" t="s">
        <v>2495</v>
      </c>
      <c r="E1063" s="10" t="s">
        <v>2931</v>
      </c>
      <c r="F1063" t="s">
        <v>35</v>
      </c>
      <c r="G1063" t="s">
        <v>2496</v>
      </c>
      <c r="H1063" s="14">
        <v>5</v>
      </c>
      <c r="I1063" s="10" t="s">
        <v>28</v>
      </c>
      <c r="J1063" s="1">
        <v>45587</v>
      </c>
      <c r="K1063" s="1">
        <v>45622</v>
      </c>
      <c r="L1063" s="25">
        <f ca="1">CLIENTES[[#This Row],[Fecha Vencimiento]]-$J$6</f>
        <v>27</v>
      </c>
      <c r="N1063" s="1" t="str">
        <f t="shared" ca="1" si="32"/>
        <v>Al dia</v>
      </c>
      <c r="O1063" s="19"/>
      <c r="P1063" s="2"/>
      <c r="Q1063" s="2">
        <f t="shared" si="33"/>
        <v>0</v>
      </c>
    </row>
    <row r="1064" spans="3:17" x14ac:dyDescent="0.25">
      <c r="C1064" s="13" t="s">
        <v>2492</v>
      </c>
      <c r="D1064" s="13" t="s">
        <v>2497</v>
      </c>
      <c r="F1064" t="s">
        <v>35</v>
      </c>
      <c r="G1064" t="s">
        <v>2498</v>
      </c>
      <c r="I1064" s="10" t="s">
        <v>28</v>
      </c>
      <c r="J1064" s="1">
        <v>45517</v>
      </c>
      <c r="K1064" s="1">
        <v>45548</v>
      </c>
      <c r="L1064" s="25">
        <f ca="1">CLIENTES[[#This Row],[Fecha Vencimiento]]-$J$6</f>
        <v>-47</v>
      </c>
      <c r="N1064" s="1" t="str">
        <f t="shared" ca="1" si="32"/>
        <v>Vencido</v>
      </c>
      <c r="O1064" s="19"/>
      <c r="P1064" s="2"/>
      <c r="Q1064" s="2">
        <f t="shared" si="33"/>
        <v>0</v>
      </c>
    </row>
    <row r="1065" spans="3:17" x14ac:dyDescent="0.25">
      <c r="C1065" s="13" t="s">
        <v>2492</v>
      </c>
      <c r="D1065" s="13" t="s">
        <v>2499</v>
      </c>
      <c r="E1065" s="10" t="s">
        <v>2931</v>
      </c>
      <c r="F1065" t="s">
        <v>35</v>
      </c>
      <c r="G1065" t="s">
        <v>2500</v>
      </c>
      <c r="H1065" s="14">
        <v>6</v>
      </c>
      <c r="I1065" s="10" t="s">
        <v>28</v>
      </c>
      <c r="J1065" s="1">
        <v>45583</v>
      </c>
      <c r="K1065" s="1">
        <v>45611</v>
      </c>
      <c r="L1065" s="25">
        <f ca="1">CLIENTES[[#This Row],[Fecha Vencimiento]]-$J$6</f>
        <v>16</v>
      </c>
      <c r="N1065" s="1" t="str">
        <f t="shared" ca="1" si="32"/>
        <v>Al dia</v>
      </c>
      <c r="O1065" s="19"/>
      <c r="P1065" s="2"/>
      <c r="Q1065" s="2">
        <f t="shared" si="33"/>
        <v>0</v>
      </c>
    </row>
    <row r="1066" spans="3:17" x14ac:dyDescent="0.25">
      <c r="C1066" s="13" t="s">
        <v>2492</v>
      </c>
      <c r="D1066" s="13" t="s">
        <v>2501</v>
      </c>
      <c r="E1066" s="10" t="s">
        <v>3107</v>
      </c>
      <c r="F1066" t="s">
        <v>35</v>
      </c>
      <c r="G1066" t="s">
        <v>2502</v>
      </c>
      <c r="H1066" s="14">
        <v>1</v>
      </c>
      <c r="I1066" s="10" t="s">
        <v>28</v>
      </c>
      <c r="J1066" s="1">
        <v>45565</v>
      </c>
      <c r="K1066" s="1">
        <v>45595</v>
      </c>
      <c r="L1066" s="25">
        <f ca="1">CLIENTES[[#This Row],[Fecha Vencimiento]]-$J$6</f>
        <v>0</v>
      </c>
      <c r="N1066" s="1" t="str">
        <f t="shared" ca="1" si="32"/>
        <v>Vence hoy</v>
      </c>
      <c r="O1066" s="19">
        <v>45565</v>
      </c>
      <c r="P1066" s="2"/>
      <c r="Q1066" s="2">
        <f t="shared" si="33"/>
        <v>-45565</v>
      </c>
    </row>
    <row r="1067" spans="3:17" x14ac:dyDescent="0.25">
      <c r="C1067" s="13" t="s">
        <v>2492</v>
      </c>
      <c r="D1067" s="13" t="s">
        <v>2499</v>
      </c>
      <c r="F1067" t="s">
        <v>232</v>
      </c>
      <c r="G1067" t="s">
        <v>2503</v>
      </c>
      <c r="H1067" s="14">
        <v>1</v>
      </c>
      <c r="I1067" s="10" t="s">
        <v>183</v>
      </c>
      <c r="J1067" s="1">
        <v>45565</v>
      </c>
      <c r="K1067" s="1">
        <v>45595</v>
      </c>
      <c r="L1067" s="25">
        <f ca="1">CLIENTES[[#This Row],[Fecha Vencimiento]]-$J$6</f>
        <v>0</v>
      </c>
      <c r="N1067" s="1" t="str">
        <f t="shared" ca="1" si="32"/>
        <v>Vence hoy</v>
      </c>
      <c r="O1067" s="19">
        <v>45565</v>
      </c>
      <c r="P1067" s="2"/>
      <c r="Q1067" s="2">
        <f t="shared" si="33"/>
        <v>-45565</v>
      </c>
    </row>
    <row r="1068" spans="3:17" x14ac:dyDescent="0.25">
      <c r="C1068" s="13" t="s">
        <v>2492</v>
      </c>
      <c r="D1068" s="13" t="s">
        <v>2074</v>
      </c>
      <c r="F1068" t="s">
        <v>35</v>
      </c>
      <c r="G1068" t="s">
        <v>2504</v>
      </c>
      <c r="H1068" s="14">
        <v>1</v>
      </c>
      <c r="I1068" s="10" t="s">
        <v>28</v>
      </c>
      <c r="J1068" s="1">
        <v>45572</v>
      </c>
      <c r="K1068" s="1">
        <v>45603</v>
      </c>
      <c r="L1068" s="25">
        <f ca="1">CLIENTES[[#This Row],[Fecha Vencimiento]]-$J$6</f>
        <v>8</v>
      </c>
      <c r="N1068" s="1" t="str">
        <f t="shared" ca="1" si="32"/>
        <v>Al dia</v>
      </c>
      <c r="O1068" s="19">
        <v>45572</v>
      </c>
      <c r="P1068" s="2"/>
      <c r="Q1068" s="2">
        <f t="shared" si="33"/>
        <v>-45572</v>
      </c>
    </row>
    <row r="1069" spans="3:17" x14ac:dyDescent="0.25">
      <c r="C1069" s="13" t="s">
        <v>2505</v>
      </c>
      <c r="D1069" s="13" t="s">
        <v>2506</v>
      </c>
      <c r="E1069" s="10">
        <v>1122908522</v>
      </c>
      <c r="F1069" t="s">
        <v>35</v>
      </c>
      <c r="G1069" t="s">
        <v>2507</v>
      </c>
      <c r="H1069" s="14">
        <v>5</v>
      </c>
      <c r="I1069" s="10" t="s">
        <v>28</v>
      </c>
      <c r="J1069" s="1">
        <v>45584</v>
      </c>
      <c r="K1069" s="1">
        <v>45614</v>
      </c>
      <c r="L1069" s="25">
        <f ca="1">CLIENTES[[#This Row],[Fecha Vencimiento]]-$J$6</f>
        <v>19</v>
      </c>
      <c r="N1069" s="1" t="str">
        <f t="shared" ca="1" si="32"/>
        <v>Al dia</v>
      </c>
      <c r="O1069" s="19"/>
      <c r="P1069" s="2"/>
      <c r="Q1069" s="2">
        <f t="shared" si="33"/>
        <v>0</v>
      </c>
    </row>
    <row r="1070" spans="3:17" x14ac:dyDescent="0.25">
      <c r="C1070" s="13" t="s">
        <v>2508</v>
      </c>
      <c r="D1070" s="13" t="s">
        <v>2509</v>
      </c>
      <c r="E1070" s="10">
        <v>1136441141</v>
      </c>
      <c r="F1070" t="s">
        <v>35</v>
      </c>
      <c r="G1070" t="s">
        <v>2510</v>
      </c>
      <c r="I1070" s="10" t="s">
        <v>28</v>
      </c>
      <c r="J1070" s="1">
        <v>45470</v>
      </c>
      <c r="K1070" s="1">
        <v>45487</v>
      </c>
      <c r="L1070" s="25">
        <f ca="1">CLIENTES[[#This Row],[Fecha Vencimiento]]-$J$6</f>
        <v>-108</v>
      </c>
      <c r="N1070" s="1" t="str">
        <f t="shared" ca="1" si="32"/>
        <v>Vencido</v>
      </c>
      <c r="O1070" s="19"/>
      <c r="P1070" s="2"/>
      <c r="Q1070" s="2">
        <f t="shared" si="33"/>
        <v>0</v>
      </c>
    </row>
    <row r="1071" spans="3:17" x14ac:dyDescent="0.25">
      <c r="C1071" s="13" t="s">
        <v>2511</v>
      </c>
      <c r="D1071" s="13" t="s">
        <v>2512</v>
      </c>
      <c r="F1071" t="s">
        <v>35</v>
      </c>
      <c r="G1071" s="1" t="s">
        <v>2513</v>
      </c>
      <c r="I1071" s="10" t="s">
        <v>28</v>
      </c>
      <c r="J1071" s="1">
        <v>45485</v>
      </c>
      <c r="K1071" s="1">
        <v>45519</v>
      </c>
      <c r="L1071" s="25">
        <f ca="1">CLIENTES[[#This Row],[Fecha Vencimiento]]-$J$6</f>
        <v>-76</v>
      </c>
      <c r="N1071" s="1" t="str">
        <f t="shared" ca="1" si="32"/>
        <v>Vencido</v>
      </c>
      <c r="O1071" s="19"/>
      <c r="P1071" s="2"/>
      <c r="Q1071" s="2">
        <f t="shared" si="33"/>
        <v>0</v>
      </c>
    </row>
    <row r="1072" spans="3:17" x14ac:dyDescent="0.25">
      <c r="C1072" s="13" t="s">
        <v>2511</v>
      </c>
      <c r="D1072" s="13" t="s">
        <v>2514</v>
      </c>
      <c r="F1072" t="s">
        <v>35</v>
      </c>
      <c r="G1072" t="s">
        <v>2515</v>
      </c>
      <c r="I1072" s="10" t="s">
        <v>28</v>
      </c>
      <c r="J1072" s="1">
        <v>45458</v>
      </c>
      <c r="K1072" s="1">
        <v>45488</v>
      </c>
      <c r="L1072" s="25">
        <f ca="1">CLIENTES[[#This Row],[Fecha Vencimiento]]-$J$6</f>
        <v>-107</v>
      </c>
      <c r="N1072" s="1" t="str">
        <f t="shared" ca="1" si="32"/>
        <v>Vencido</v>
      </c>
      <c r="O1072" s="19"/>
      <c r="P1072" s="2"/>
      <c r="Q1072" s="2">
        <f t="shared" si="33"/>
        <v>0</v>
      </c>
    </row>
    <row r="1073" spans="3:17" x14ac:dyDescent="0.25">
      <c r="C1073" s="13" t="s">
        <v>2511</v>
      </c>
      <c r="D1073" s="13" t="s">
        <v>51</v>
      </c>
      <c r="E1073" s="10">
        <v>1131360691</v>
      </c>
      <c r="F1073" t="s">
        <v>35</v>
      </c>
      <c r="G1073" t="s">
        <v>2516</v>
      </c>
      <c r="H1073" s="14">
        <v>4</v>
      </c>
      <c r="I1073" s="10" t="s">
        <v>28</v>
      </c>
      <c r="J1073" s="1">
        <v>45583</v>
      </c>
      <c r="K1073" s="1">
        <v>45605</v>
      </c>
      <c r="L1073" s="25">
        <f ca="1">CLIENTES[[#This Row],[Fecha Vencimiento]]-$J$6</f>
        <v>10</v>
      </c>
      <c r="N1073" s="1" t="str">
        <f t="shared" ca="1" si="32"/>
        <v>Al dia</v>
      </c>
      <c r="O1073" s="19"/>
      <c r="P1073" s="2"/>
      <c r="Q1073" s="2">
        <f t="shared" si="33"/>
        <v>0</v>
      </c>
    </row>
    <row r="1074" spans="3:17" x14ac:dyDescent="0.25">
      <c r="C1074" s="13" t="s">
        <v>2511</v>
      </c>
      <c r="D1074" s="13" t="s">
        <v>2514</v>
      </c>
      <c r="F1074" t="s">
        <v>35</v>
      </c>
      <c r="G1074" t="s">
        <v>2517</v>
      </c>
      <c r="H1074" s="14">
        <v>4</v>
      </c>
      <c r="I1074" s="10" t="s">
        <v>28</v>
      </c>
      <c r="J1074" s="1">
        <v>45577</v>
      </c>
      <c r="K1074" s="1">
        <v>45609</v>
      </c>
      <c r="L1074" s="25">
        <f ca="1">CLIENTES[[#This Row],[Fecha Vencimiento]]-$J$6</f>
        <v>14</v>
      </c>
      <c r="N1074" s="1" t="str">
        <f t="shared" ca="1" si="32"/>
        <v>Al dia</v>
      </c>
      <c r="O1074" s="19"/>
      <c r="P1074" s="2"/>
      <c r="Q1074" s="2">
        <f t="shared" si="33"/>
        <v>0</v>
      </c>
    </row>
    <row r="1075" spans="3:17" x14ac:dyDescent="0.25">
      <c r="C1075" s="13" t="s">
        <v>2511</v>
      </c>
      <c r="D1075" s="13" t="s">
        <v>2518</v>
      </c>
      <c r="E1075" s="10" t="s">
        <v>2931</v>
      </c>
      <c r="F1075" t="s">
        <v>35</v>
      </c>
      <c r="G1075" t="s">
        <v>2519</v>
      </c>
      <c r="I1075" s="10" t="s">
        <v>28</v>
      </c>
      <c r="J1075" s="1">
        <v>45518</v>
      </c>
      <c r="K1075" s="1">
        <v>45549</v>
      </c>
      <c r="L1075" s="25">
        <f ca="1">CLIENTES[[#This Row],[Fecha Vencimiento]]-$J$6</f>
        <v>-46</v>
      </c>
      <c r="N1075" s="1" t="str">
        <f t="shared" ref="N1075:N1138" ca="1" si="34">IF(L1075&lt;0,"Vencido",IF(L1075=0,"Vence hoy",IF(L1075&lt;4,"Por vencer","Al dia")))</f>
        <v>Vencido</v>
      </c>
      <c r="O1075" s="19"/>
      <c r="P1075" s="2"/>
      <c r="Q1075" s="2">
        <f t="shared" si="33"/>
        <v>0</v>
      </c>
    </row>
    <row r="1076" spans="3:17" x14ac:dyDescent="0.25">
      <c r="C1076" s="13" t="s">
        <v>2511</v>
      </c>
      <c r="D1076" s="13" t="s">
        <v>2520</v>
      </c>
      <c r="E1076" s="10">
        <v>1167433841</v>
      </c>
      <c r="F1076" t="s">
        <v>35</v>
      </c>
      <c r="G1076" t="s">
        <v>2521</v>
      </c>
      <c r="H1076" s="14">
        <v>5</v>
      </c>
      <c r="I1076" s="10" t="s">
        <v>28</v>
      </c>
      <c r="J1076" s="1">
        <v>45579</v>
      </c>
      <c r="K1076" s="1">
        <v>45610</v>
      </c>
      <c r="L1076" s="25">
        <f ca="1">CLIENTES[[#This Row],[Fecha Vencimiento]]-$J$6</f>
        <v>15</v>
      </c>
      <c r="N1076" s="1" t="str">
        <f t="shared" ca="1" si="34"/>
        <v>Al dia</v>
      </c>
      <c r="O1076" s="19"/>
      <c r="P1076" s="2"/>
      <c r="Q1076" s="2">
        <f t="shared" si="33"/>
        <v>0</v>
      </c>
    </row>
    <row r="1077" spans="3:17" x14ac:dyDescent="0.25">
      <c r="C1077" s="13" t="s">
        <v>2511</v>
      </c>
      <c r="D1077" s="13" t="s">
        <v>2522</v>
      </c>
      <c r="E1077" s="10" t="s">
        <v>3108</v>
      </c>
      <c r="F1077" t="s">
        <v>35</v>
      </c>
      <c r="G1077" t="s">
        <v>2523</v>
      </c>
      <c r="H1077" s="14">
        <v>6</v>
      </c>
      <c r="I1077" s="10" t="s">
        <v>28</v>
      </c>
      <c r="J1077" s="1">
        <v>45587</v>
      </c>
      <c r="K1077" s="1">
        <v>45610</v>
      </c>
      <c r="L1077" s="25">
        <f ca="1">CLIENTES[[#This Row],[Fecha Vencimiento]]-$J$6</f>
        <v>15</v>
      </c>
      <c r="N1077" s="1" t="str">
        <f t="shared" ca="1" si="34"/>
        <v>Al dia</v>
      </c>
      <c r="O1077" s="19"/>
      <c r="P1077" s="2"/>
      <c r="Q1077" s="2">
        <f t="shared" si="33"/>
        <v>0</v>
      </c>
    </row>
    <row r="1078" spans="3:17" x14ac:dyDescent="0.25">
      <c r="C1078" s="13" t="s">
        <v>2511</v>
      </c>
      <c r="D1078" s="13" t="s">
        <v>2524</v>
      </c>
      <c r="E1078" s="10">
        <v>1154914213</v>
      </c>
      <c r="F1078" t="s">
        <v>35</v>
      </c>
      <c r="G1078" t="s">
        <v>2525</v>
      </c>
      <c r="H1078" s="14">
        <v>7</v>
      </c>
      <c r="I1078" s="10" t="s">
        <v>28</v>
      </c>
      <c r="J1078" s="1">
        <v>45590</v>
      </c>
      <c r="K1078" s="1">
        <v>45622</v>
      </c>
      <c r="L1078" s="25">
        <f ca="1">CLIENTES[[#This Row],[Fecha Vencimiento]]-$J$6</f>
        <v>27</v>
      </c>
      <c r="N1078" s="1" t="str">
        <f t="shared" ca="1" si="34"/>
        <v>Al dia</v>
      </c>
      <c r="O1078" s="19"/>
      <c r="P1078" s="2"/>
      <c r="Q1078" s="2">
        <f t="shared" si="33"/>
        <v>0</v>
      </c>
    </row>
    <row r="1079" spans="3:17" x14ac:dyDescent="0.25">
      <c r="C1079" s="13" t="s">
        <v>2511</v>
      </c>
      <c r="D1079" s="13" t="s">
        <v>2526</v>
      </c>
      <c r="E1079" s="10">
        <v>1127962118</v>
      </c>
      <c r="F1079" t="s">
        <v>35</v>
      </c>
      <c r="G1079" t="s">
        <v>2527</v>
      </c>
      <c r="H1079" s="14">
        <v>1</v>
      </c>
      <c r="I1079" s="10" t="s">
        <v>28</v>
      </c>
      <c r="J1079" s="1">
        <v>45589</v>
      </c>
      <c r="K1079" s="1">
        <v>45621</v>
      </c>
      <c r="L1079" s="25">
        <f ca="1">CLIENTES[[#This Row],[Fecha Vencimiento]]-$J$6</f>
        <v>26</v>
      </c>
      <c r="N1079" s="1" t="str">
        <f t="shared" ca="1" si="34"/>
        <v>Al dia</v>
      </c>
      <c r="O1079" s="19"/>
      <c r="P1079" s="2"/>
      <c r="Q1079" s="2">
        <f t="shared" si="33"/>
        <v>0</v>
      </c>
    </row>
    <row r="1080" spans="3:17" x14ac:dyDescent="0.25">
      <c r="C1080" s="13" t="s">
        <v>2511</v>
      </c>
      <c r="D1080" s="13" t="s">
        <v>2528</v>
      </c>
      <c r="F1080" t="s">
        <v>35</v>
      </c>
      <c r="G1080" t="s">
        <v>2529</v>
      </c>
      <c r="I1080" s="10" t="s">
        <v>28</v>
      </c>
      <c r="J1080" s="1">
        <v>45453</v>
      </c>
      <c r="K1080" s="1">
        <v>45523</v>
      </c>
      <c r="L1080" s="25">
        <f ca="1">CLIENTES[[#This Row],[Fecha Vencimiento]]-$J$6</f>
        <v>-72</v>
      </c>
      <c r="N1080" s="1" t="str">
        <f t="shared" ca="1" si="34"/>
        <v>Vencido</v>
      </c>
      <c r="O1080" s="19"/>
      <c r="P1080" s="2"/>
      <c r="Q1080" s="2">
        <f t="shared" si="33"/>
        <v>0</v>
      </c>
    </row>
    <row r="1081" spans="3:17" x14ac:dyDescent="0.25">
      <c r="C1081" s="13" t="s">
        <v>2511</v>
      </c>
      <c r="D1081" s="13" t="s">
        <v>2518</v>
      </c>
      <c r="E1081" s="10">
        <v>1134192853</v>
      </c>
      <c r="F1081" t="s">
        <v>35</v>
      </c>
      <c r="G1081" t="s">
        <v>2519</v>
      </c>
      <c r="H1081" s="14">
        <v>3</v>
      </c>
      <c r="I1081" s="10" t="s">
        <v>28</v>
      </c>
      <c r="J1081" s="1">
        <v>45577</v>
      </c>
      <c r="K1081" s="1">
        <v>45610</v>
      </c>
      <c r="L1081" s="25">
        <f ca="1">CLIENTES[[#This Row],[Fecha Vencimiento]]-$J$6</f>
        <v>15</v>
      </c>
      <c r="N1081" s="1" t="str">
        <f t="shared" ca="1" si="34"/>
        <v>Al dia</v>
      </c>
      <c r="O1081" s="19"/>
      <c r="P1081" s="2"/>
      <c r="Q1081" s="2">
        <f t="shared" si="33"/>
        <v>0</v>
      </c>
    </row>
    <row r="1082" spans="3:17" x14ac:dyDescent="0.25">
      <c r="C1082" s="13" t="s">
        <v>2511</v>
      </c>
      <c r="D1082" s="13" t="s">
        <v>1775</v>
      </c>
      <c r="E1082" s="10">
        <v>1167951769</v>
      </c>
      <c r="F1082" t="s">
        <v>35</v>
      </c>
      <c r="G1082" t="s">
        <v>2530</v>
      </c>
      <c r="H1082" s="14">
        <v>4</v>
      </c>
      <c r="I1082" s="10" t="s">
        <v>28</v>
      </c>
      <c r="J1082" s="1">
        <v>45593</v>
      </c>
      <c r="K1082" s="1" t="s">
        <v>568</v>
      </c>
      <c r="L1082" s="25" t="e">
        <f ca="1">CLIENTES[[#This Row],[Fecha Vencimiento]]-$J$6</f>
        <v>#VALUE!</v>
      </c>
      <c r="N1082" s="1" t="e">
        <f t="shared" ca="1" si="34"/>
        <v>#VALUE!</v>
      </c>
      <c r="O1082" s="19"/>
      <c r="P1082" s="2"/>
      <c r="Q1082" s="2">
        <f t="shared" si="33"/>
        <v>0</v>
      </c>
    </row>
    <row r="1083" spans="3:17" x14ac:dyDescent="0.25">
      <c r="C1083" s="13" t="s">
        <v>2531</v>
      </c>
      <c r="D1083" s="13" t="s">
        <v>2532</v>
      </c>
      <c r="E1083" s="10" t="s">
        <v>3134</v>
      </c>
      <c r="F1083" t="s">
        <v>35</v>
      </c>
      <c r="G1083" t="s">
        <v>2533</v>
      </c>
      <c r="H1083" s="14">
        <v>5</v>
      </c>
      <c r="I1083" s="10" t="s">
        <v>28</v>
      </c>
      <c r="J1083" s="1">
        <v>45587</v>
      </c>
      <c r="K1083" s="1">
        <v>45618</v>
      </c>
      <c r="L1083" s="25">
        <f ca="1">CLIENTES[[#This Row],[Fecha Vencimiento]]-$J$6</f>
        <v>23</v>
      </c>
      <c r="N1083" s="1" t="str">
        <f t="shared" ca="1" si="34"/>
        <v>Al dia</v>
      </c>
      <c r="O1083" s="19"/>
      <c r="P1083" s="2"/>
      <c r="Q1083" s="2">
        <f t="shared" si="33"/>
        <v>0</v>
      </c>
    </row>
    <row r="1084" spans="3:17" x14ac:dyDescent="0.25">
      <c r="C1084" s="13" t="s">
        <v>2534</v>
      </c>
      <c r="D1084" s="13" t="s">
        <v>2535</v>
      </c>
      <c r="E1084" s="10" t="s">
        <v>2931</v>
      </c>
      <c r="F1084" t="s">
        <v>35</v>
      </c>
      <c r="G1084" t="s">
        <v>2536</v>
      </c>
      <c r="H1084" s="14">
        <v>3</v>
      </c>
      <c r="I1084" s="10" t="s">
        <v>28</v>
      </c>
      <c r="J1084" s="1">
        <v>45563</v>
      </c>
      <c r="K1084" s="1">
        <v>45594</v>
      </c>
      <c r="L1084" s="25">
        <f ca="1">CLIENTES[[#This Row],[Fecha Vencimiento]]-$J$6</f>
        <v>-1</v>
      </c>
      <c r="N1084" s="1" t="str">
        <f t="shared" ca="1" si="34"/>
        <v>Vencido</v>
      </c>
      <c r="O1084" s="19"/>
      <c r="P1084" s="2"/>
      <c r="Q1084" s="2">
        <f t="shared" si="33"/>
        <v>0</v>
      </c>
    </row>
    <row r="1085" spans="3:17" x14ac:dyDescent="0.25">
      <c r="C1085" s="13" t="s">
        <v>2537</v>
      </c>
      <c r="D1085" s="13" t="s">
        <v>2538</v>
      </c>
      <c r="E1085" s="10">
        <v>1126645622</v>
      </c>
      <c r="F1085" t="s">
        <v>35</v>
      </c>
      <c r="G1085" t="s">
        <v>2539</v>
      </c>
      <c r="H1085" s="14">
        <v>3</v>
      </c>
      <c r="I1085" s="10" t="s">
        <v>28</v>
      </c>
      <c r="J1085" s="1">
        <v>45569</v>
      </c>
      <c r="K1085" s="1">
        <v>45602</v>
      </c>
      <c r="L1085" s="25">
        <f ca="1">CLIENTES[[#This Row],[Fecha Vencimiento]]-$J$6</f>
        <v>7</v>
      </c>
      <c r="N1085" s="1" t="str">
        <f t="shared" ca="1" si="34"/>
        <v>Al dia</v>
      </c>
      <c r="O1085" s="19"/>
      <c r="P1085" s="2"/>
      <c r="Q1085" s="2">
        <f t="shared" si="33"/>
        <v>0</v>
      </c>
    </row>
    <row r="1086" spans="3:17" x14ac:dyDescent="0.25">
      <c r="C1086" s="13" t="s">
        <v>2540</v>
      </c>
      <c r="D1086" s="13" t="s">
        <v>990</v>
      </c>
      <c r="E1086" s="10">
        <v>1176007017</v>
      </c>
      <c r="F1086" t="s">
        <v>35</v>
      </c>
      <c r="G1086" t="s">
        <v>2541</v>
      </c>
      <c r="H1086" s="14">
        <v>5</v>
      </c>
      <c r="I1086" s="10" t="s">
        <v>28</v>
      </c>
      <c r="J1086" s="1">
        <v>45591</v>
      </c>
      <c r="K1086" s="1">
        <v>45623</v>
      </c>
      <c r="L1086" s="25">
        <f ca="1">CLIENTES[[#This Row],[Fecha Vencimiento]]-$J$6</f>
        <v>28</v>
      </c>
      <c r="N1086" s="1" t="str">
        <f t="shared" ca="1" si="34"/>
        <v>Al dia</v>
      </c>
      <c r="O1086" s="19"/>
      <c r="P1086" s="2"/>
      <c r="Q1086" s="2">
        <f t="shared" si="33"/>
        <v>0</v>
      </c>
    </row>
    <row r="1087" spans="3:17" ht="30" x14ac:dyDescent="0.25">
      <c r="C1087" s="13" t="s">
        <v>2542</v>
      </c>
      <c r="D1087" s="13" t="s">
        <v>2543</v>
      </c>
      <c r="E1087" s="34" t="s">
        <v>3114</v>
      </c>
      <c r="F1087" t="s">
        <v>35</v>
      </c>
      <c r="G1087" t="s">
        <v>2544</v>
      </c>
      <c r="H1087" s="14">
        <v>5</v>
      </c>
      <c r="I1087" s="10" t="s">
        <v>28</v>
      </c>
      <c r="J1087" s="1">
        <v>45591</v>
      </c>
      <c r="K1087" s="1">
        <v>45622</v>
      </c>
      <c r="L1087" s="25">
        <f ca="1">CLIENTES[[#This Row],[Fecha Vencimiento]]-$J$6</f>
        <v>27</v>
      </c>
      <c r="N1087" s="1" t="str">
        <f t="shared" ca="1" si="34"/>
        <v>Al dia</v>
      </c>
      <c r="O1087" s="19"/>
      <c r="P1087" s="2"/>
      <c r="Q1087" s="2">
        <f t="shared" si="33"/>
        <v>0</v>
      </c>
    </row>
    <row r="1088" spans="3:17" x14ac:dyDescent="0.25">
      <c r="C1088" t="s">
        <v>2542</v>
      </c>
      <c r="D1088" t="s">
        <v>2545</v>
      </c>
      <c r="E1088" s="10" t="s">
        <v>2931</v>
      </c>
      <c r="F1088" t="s">
        <v>35</v>
      </c>
      <c r="G1088" t="s">
        <v>2546</v>
      </c>
      <c r="H1088" s="14">
        <v>1</v>
      </c>
      <c r="I1088" s="10" t="s">
        <v>28</v>
      </c>
      <c r="J1088" s="1">
        <v>45586</v>
      </c>
      <c r="K1088" s="1">
        <v>45598</v>
      </c>
      <c r="L1088" s="25">
        <f ca="1">CLIENTES[[#This Row],[Fecha Vencimiento]]-$J$6</f>
        <v>3</v>
      </c>
      <c r="N1088" s="1" t="str">
        <f t="shared" ca="1" si="34"/>
        <v>Por vencer</v>
      </c>
      <c r="O1088" s="1">
        <v>45567</v>
      </c>
      <c r="P1088" s="2"/>
      <c r="Q1088" s="2">
        <f t="shared" si="33"/>
        <v>-45567</v>
      </c>
    </row>
    <row r="1089" spans="3:17" x14ac:dyDescent="0.25">
      <c r="C1089" s="13" t="s">
        <v>2547</v>
      </c>
      <c r="D1089" s="13" t="s">
        <v>2548</v>
      </c>
      <c r="E1089" s="10">
        <v>1140660018</v>
      </c>
      <c r="F1089" t="s">
        <v>35</v>
      </c>
      <c r="G1089" t="s">
        <v>2549</v>
      </c>
      <c r="I1089" s="10" t="s">
        <v>28</v>
      </c>
      <c r="J1089" s="1">
        <v>45514</v>
      </c>
      <c r="K1089" s="1">
        <v>45545</v>
      </c>
      <c r="L1089" s="25">
        <f ca="1">CLIENTES[[#This Row],[Fecha Vencimiento]]-$J$6</f>
        <v>-50</v>
      </c>
      <c r="N1089" s="1" t="str">
        <f t="shared" ca="1" si="34"/>
        <v>Vencido</v>
      </c>
      <c r="O1089" s="19"/>
      <c r="P1089" s="2"/>
      <c r="Q1089" s="2">
        <f t="shared" si="33"/>
        <v>0</v>
      </c>
    </row>
    <row r="1090" spans="3:17" x14ac:dyDescent="0.25">
      <c r="C1090" s="13" t="s">
        <v>2547</v>
      </c>
      <c r="D1090" s="13" t="s">
        <v>2550</v>
      </c>
      <c r="E1090" s="10" t="s">
        <v>2931</v>
      </c>
      <c r="F1090" t="s">
        <v>35</v>
      </c>
      <c r="G1090" t="s">
        <v>2551</v>
      </c>
      <c r="H1090" s="14">
        <v>1</v>
      </c>
      <c r="I1090" s="10" t="s">
        <v>28</v>
      </c>
      <c r="J1090" s="1">
        <v>45579</v>
      </c>
      <c r="K1090" s="1">
        <v>45610</v>
      </c>
      <c r="L1090" s="25">
        <f ca="1">CLIENTES[[#This Row],[Fecha Vencimiento]]-$J$6</f>
        <v>15</v>
      </c>
      <c r="N1090" s="1" t="str">
        <f t="shared" ca="1" si="34"/>
        <v>Al dia</v>
      </c>
      <c r="O1090" s="19">
        <v>45579</v>
      </c>
      <c r="P1090" s="2"/>
      <c r="Q1090" s="2">
        <f t="shared" si="33"/>
        <v>-45579</v>
      </c>
    </row>
    <row r="1091" spans="3:17" x14ac:dyDescent="0.25">
      <c r="C1091" s="13" t="s">
        <v>2552</v>
      </c>
      <c r="D1091" s="13" t="s">
        <v>2553</v>
      </c>
      <c r="E1091" s="10" t="s">
        <v>2931</v>
      </c>
      <c r="F1091" t="s">
        <v>35</v>
      </c>
      <c r="G1091" t="s">
        <v>2554</v>
      </c>
      <c r="H1091" s="14">
        <v>4</v>
      </c>
      <c r="I1091" s="10" t="s">
        <v>28</v>
      </c>
      <c r="J1091" s="1">
        <v>45582</v>
      </c>
      <c r="K1091" s="1">
        <v>45611</v>
      </c>
      <c r="L1091" s="25">
        <f ca="1">CLIENTES[[#This Row],[Fecha Vencimiento]]-$J$6</f>
        <v>16</v>
      </c>
      <c r="N1091" s="1" t="str">
        <f t="shared" ca="1" si="34"/>
        <v>Al dia</v>
      </c>
      <c r="O1091" s="19"/>
      <c r="P1091" s="2"/>
      <c r="Q1091" s="2">
        <f t="shared" si="33"/>
        <v>0</v>
      </c>
    </row>
    <row r="1092" spans="3:17" x14ac:dyDescent="0.25">
      <c r="C1092" s="13" t="s">
        <v>2552</v>
      </c>
      <c r="D1092" s="13" t="s">
        <v>2555</v>
      </c>
      <c r="E1092" s="10">
        <v>1557999682</v>
      </c>
      <c r="F1092" t="s">
        <v>35</v>
      </c>
      <c r="G1092" t="s">
        <v>2556</v>
      </c>
      <c r="H1092" s="14">
        <v>4</v>
      </c>
      <c r="I1092" s="10" t="s">
        <v>28</v>
      </c>
      <c r="J1092" s="1">
        <v>45575</v>
      </c>
      <c r="K1092" s="1">
        <v>45607</v>
      </c>
      <c r="L1092" s="25">
        <f ca="1">CLIENTES[[#This Row],[Fecha Vencimiento]]-$J$6</f>
        <v>12</v>
      </c>
      <c r="N1092" s="1" t="str">
        <f t="shared" ca="1" si="34"/>
        <v>Al dia</v>
      </c>
      <c r="O1092" s="19"/>
      <c r="P1092" s="2"/>
      <c r="Q1092" s="2">
        <f t="shared" si="33"/>
        <v>0</v>
      </c>
    </row>
    <row r="1093" spans="3:17" x14ac:dyDescent="0.25">
      <c r="C1093" s="13" t="s">
        <v>2552</v>
      </c>
      <c r="D1093" s="13" t="s">
        <v>1067</v>
      </c>
      <c r="F1093" t="s">
        <v>35</v>
      </c>
      <c r="G1093" t="s">
        <v>2557</v>
      </c>
      <c r="I1093" s="10" t="s">
        <v>28</v>
      </c>
      <c r="J1093" s="1">
        <v>45455</v>
      </c>
      <c r="K1093" s="1">
        <v>45485</v>
      </c>
      <c r="L1093" s="25">
        <f ca="1">CLIENTES[[#This Row],[Fecha Vencimiento]]-$J$6</f>
        <v>-110</v>
      </c>
      <c r="N1093" s="1" t="str">
        <f t="shared" ca="1" si="34"/>
        <v>Vencido</v>
      </c>
      <c r="O1093" s="19"/>
      <c r="P1093" s="2"/>
      <c r="Q1093" s="2">
        <f t="shared" si="33"/>
        <v>0</v>
      </c>
    </row>
    <row r="1094" spans="3:17" x14ac:dyDescent="0.25">
      <c r="C1094" s="13" t="s">
        <v>2552</v>
      </c>
      <c r="D1094" s="13" t="s">
        <v>2558</v>
      </c>
      <c r="F1094" t="s">
        <v>35</v>
      </c>
      <c r="G1094" t="s">
        <v>2559</v>
      </c>
      <c r="I1094" s="10" t="s">
        <v>28</v>
      </c>
      <c r="J1094" s="1">
        <v>45447</v>
      </c>
      <c r="K1094" s="1">
        <v>45445</v>
      </c>
      <c r="L1094" s="25">
        <f ca="1">CLIENTES[[#This Row],[Fecha Vencimiento]]-$J$6</f>
        <v>-150</v>
      </c>
      <c r="N1094" s="1" t="str">
        <f t="shared" ca="1" si="34"/>
        <v>Vencido</v>
      </c>
      <c r="O1094" s="19"/>
      <c r="P1094" s="2"/>
      <c r="Q1094" s="2">
        <f t="shared" si="33"/>
        <v>0</v>
      </c>
    </row>
    <row r="1095" spans="3:17" x14ac:dyDescent="0.25">
      <c r="C1095" s="13" t="s">
        <v>2552</v>
      </c>
      <c r="D1095" s="13" t="s">
        <v>312</v>
      </c>
      <c r="E1095" s="10">
        <v>1151621306</v>
      </c>
      <c r="F1095" t="s">
        <v>35</v>
      </c>
      <c r="G1095" t="s">
        <v>2560</v>
      </c>
      <c r="H1095" s="14">
        <v>7</v>
      </c>
      <c r="I1095" s="10" t="s">
        <v>28</v>
      </c>
      <c r="J1095" s="1">
        <v>45594</v>
      </c>
      <c r="K1095" s="1">
        <v>45620</v>
      </c>
      <c r="L1095" s="25">
        <f ca="1">CLIENTES[[#This Row],[Fecha Vencimiento]]-$J$6</f>
        <v>25</v>
      </c>
      <c r="N1095" s="1" t="str">
        <f t="shared" ca="1" si="34"/>
        <v>Al dia</v>
      </c>
      <c r="O1095" s="19"/>
      <c r="P1095" s="2"/>
      <c r="Q1095" s="2">
        <f t="shared" si="33"/>
        <v>0</v>
      </c>
    </row>
    <row r="1096" spans="3:17" x14ac:dyDescent="0.25">
      <c r="C1096" s="13" t="s">
        <v>2552</v>
      </c>
      <c r="D1096" s="13" t="s">
        <v>2561</v>
      </c>
      <c r="E1096" s="10">
        <v>1149755648</v>
      </c>
      <c r="F1096" t="s">
        <v>35</v>
      </c>
      <c r="G1096" t="s">
        <v>2562</v>
      </c>
      <c r="H1096" s="14">
        <v>5</v>
      </c>
      <c r="I1096" s="10" t="s">
        <v>28</v>
      </c>
      <c r="J1096" s="1">
        <v>45591</v>
      </c>
      <c r="K1096" s="1">
        <v>45627</v>
      </c>
      <c r="L1096" s="25">
        <f ca="1">CLIENTES[[#This Row],[Fecha Vencimiento]]-$J$6</f>
        <v>32</v>
      </c>
      <c r="N1096" s="1" t="str">
        <f t="shared" ca="1" si="34"/>
        <v>Al dia</v>
      </c>
      <c r="O1096" s="19"/>
      <c r="P1096" s="2"/>
      <c r="Q1096" s="2">
        <f t="shared" ref="Q1096:Q1159" si="35">P1096-O1096</f>
        <v>0</v>
      </c>
    </row>
    <row r="1097" spans="3:17" x14ac:dyDescent="0.25">
      <c r="C1097" s="13" t="s">
        <v>2563</v>
      </c>
      <c r="D1097" s="13" t="s">
        <v>2564</v>
      </c>
      <c r="E1097" s="10">
        <v>1164677516</v>
      </c>
      <c r="F1097" t="s">
        <v>35</v>
      </c>
      <c r="G1097" t="s">
        <v>2565</v>
      </c>
      <c r="H1097" s="14">
        <v>2</v>
      </c>
      <c r="I1097" s="10" t="s">
        <v>28</v>
      </c>
      <c r="J1097" s="1">
        <v>45590</v>
      </c>
      <c r="K1097" s="1">
        <v>45621</v>
      </c>
      <c r="L1097" s="25">
        <f ca="1">CLIENTES[[#This Row],[Fecha Vencimiento]]-$J$6</f>
        <v>26</v>
      </c>
      <c r="N1097" s="1" t="str">
        <f t="shared" ca="1" si="34"/>
        <v>Al dia</v>
      </c>
      <c r="O1097" s="19">
        <v>45560</v>
      </c>
      <c r="P1097" s="2"/>
      <c r="Q1097" s="2">
        <f t="shared" si="35"/>
        <v>-45560</v>
      </c>
    </row>
    <row r="1098" spans="3:17" x14ac:dyDescent="0.25">
      <c r="C1098" s="13" t="s">
        <v>2566</v>
      </c>
      <c r="D1098" s="13" t="s">
        <v>2567</v>
      </c>
      <c r="F1098" t="s">
        <v>35</v>
      </c>
      <c r="G1098" t="s">
        <v>2568</v>
      </c>
      <c r="I1098" s="10" t="s">
        <v>28</v>
      </c>
      <c r="J1098" s="1">
        <v>45464</v>
      </c>
      <c r="K1098" s="1">
        <v>45493</v>
      </c>
      <c r="L1098" s="25">
        <f ca="1">CLIENTES[[#This Row],[Fecha Vencimiento]]-$J$6</f>
        <v>-102</v>
      </c>
      <c r="N1098" s="1" t="str">
        <f t="shared" ca="1" si="34"/>
        <v>Vencido</v>
      </c>
      <c r="O1098" s="19"/>
      <c r="P1098" s="2"/>
      <c r="Q1098" s="2">
        <f t="shared" si="35"/>
        <v>0</v>
      </c>
    </row>
    <row r="1099" spans="3:17" x14ac:dyDescent="0.25">
      <c r="C1099" s="13" t="s">
        <v>2569</v>
      </c>
      <c r="D1099" s="13" t="s">
        <v>944</v>
      </c>
      <c r="E1099" s="10">
        <v>1126078892</v>
      </c>
      <c r="F1099" t="s">
        <v>35</v>
      </c>
      <c r="G1099" t="s">
        <v>2570</v>
      </c>
      <c r="H1099" s="14">
        <v>1</v>
      </c>
      <c r="I1099" s="10" t="s">
        <v>28</v>
      </c>
      <c r="J1099" s="1">
        <v>45581</v>
      </c>
      <c r="K1099" s="1">
        <v>45612</v>
      </c>
      <c r="L1099" s="25">
        <f ca="1">CLIENTES[[#This Row],[Fecha Vencimiento]]-$J$6</f>
        <v>17</v>
      </c>
      <c r="N1099" s="1" t="str">
        <f t="shared" ca="1" si="34"/>
        <v>Al dia</v>
      </c>
      <c r="O1099" s="19"/>
      <c r="P1099" s="2"/>
      <c r="Q1099" s="2">
        <f t="shared" si="35"/>
        <v>0</v>
      </c>
    </row>
    <row r="1100" spans="3:17" x14ac:dyDescent="0.25">
      <c r="C1100" s="13" t="s">
        <v>2571</v>
      </c>
      <c r="D1100" s="13" t="s">
        <v>2572</v>
      </c>
      <c r="E1100" s="10">
        <v>1166132705</v>
      </c>
      <c r="F1100" t="s">
        <v>35</v>
      </c>
      <c r="G1100" t="s">
        <v>2573</v>
      </c>
      <c r="H1100" s="14">
        <v>1</v>
      </c>
      <c r="I1100" s="10" t="s">
        <v>28</v>
      </c>
      <c r="J1100" s="1">
        <v>45574</v>
      </c>
      <c r="K1100" s="1">
        <v>45605</v>
      </c>
      <c r="L1100" s="25">
        <f ca="1">CLIENTES[[#This Row],[Fecha Vencimiento]]-$J$6</f>
        <v>10</v>
      </c>
      <c r="N1100" s="1" t="str">
        <f t="shared" ca="1" si="34"/>
        <v>Al dia</v>
      </c>
      <c r="O1100" s="19">
        <v>45574</v>
      </c>
      <c r="P1100" s="2"/>
      <c r="Q1100" s="2">
        <f t="shared" si="35"/>
        <v>-45574</v>
      </c>
    </row>
    <row r="1101" spans="3:17" x14ac:dyDescent="0.25">
      <c r="C1101" s="13" t="s">
        <v>2574</v>
      </c>
      <c r="D1101" s="13" t="s">
        <v>2575</v>
      </c>
      <c r="E1101" s="10">
        <v>1168795289</v>
      </c>
      <c r="F1101" t="s">
        <v>35</v>
      </c>
      <c r="G1101" t="s">
        <v>2576</v>
      </c>
      <c r="H1101" s="14">
        <v>3</v>
      </c>
      <c r="I1101" s="10" t="s">
        <v>28</v>
      </c>
      <c r="J1101" s="1">
        <v>45586</v>
      </c>
      <c r="K1101" s="1">
        <v>45617</v>
      </c>
      <c r="L1101" s="25">
        <f ca="1">CLIENTES[[#This Row],[Fecha Vencimiento]]-$J$6</f>
        <v>22</v>
      </c>
      <c r="N1101" s="1" t="str">
        <f t="shared" ca="1" si="34"/>
        <v>Al dia</v>
      </c>
      <c r="O1101" s="19"/>
      <c r="P1101" s="2"/>
      <c r="Q1101" s="2">
        <f t="shared" si="35"/>
        <v>0</v>
      </c>
    </row>
    <row r="1102" spans="3:17" x14ac:dyDescent="0.25">
      <c r="C1102" s="13" t="s">
        <v>2577</v>
      </c>
      <c r="D1102" s="13" t="s">
        <v>2081</v>
      </c>
      <c r="E1102" s="10">
        <v>1168891003</v>
      </c>
      <c r="F1102" t="s">
        <v>35</v>
      </c>
      <c r="G1102" t="s">
        <v>2578</v>
      </c>
      <c r="H1102" s="14">
        <v>6</v>
      </c>
      <c r="I1102" s="10" t="s">
        <v>28</v>
      </c>
      <c r="J1102" s="1">
        <v>45590</v>
      </c>
      <c r="K1102" s="1">
        <v>45621</v>
      </c>
      <c r="L1102" s="25">
        <f ca="1">CLIENTES[[#This Row],[Fecha Vencimiento]]-$J$6</f>
        <v>26</v>
      </c>
      <c r="N1102" s="1" t="str">
        <f t="shared" ca="1" si="34"/>
        <v>Al dia</v>
      </c>
      <c r="O1102" s="19"/>
      <c r="P1102" s="2"/>
      <c r="Q1102" s="2">
        <f t="shared" si="35"/>
        <v>0</v>
      </c>
    </row>
    <row r="1103" spans="3:17" x14ac:dyDescent="0.25">
      <c r="C1103" s="13" t="s">
        <v>2577</v>
      </c>
      <c r="D1103" s="13" t="s">
        <v>2579</v>
      </c>
      <c r="E1103" s="10">
        <v>1168891003</v>
      </c>
      <c r="F1103" t="s">
        <v>35</v>
      </c>
      <c r="G1103" t="s">
        <v>2580</v>
      </c>
      <c r="H1103" s="14">
        <v>5</v>
      </c>
      <c r="I1103" s="10" t="s">
        <v>28</v>
      </c>
      <c r="J1103" s="1">
        <v>45575</v>
      </c>
      <c r="K1103" s="1">
        <v>45603</v>
      </c>
      <c r="L1103" s="25">
        <f ca="1">CLIENTES[[#This Row],[Fecha Vencimiento]]-$J$6</f>
        <v>8</v>
      </c>
      <c r="N1103" s="1" t="str">
        <f t="shared" ca="1" si="34"/>
        <v>Al dia</v>
      </c>
      <c r="O1103" s="19"/>
      <c r="P1103" s="2"/>
      <c r="Q1103" s="2">
        <f t="shared" si="35"/>
        <v>0</v>
      </c>
    </row>
    <row r="1104" spans="3:17" x14ac:dyDescent="0.25">
      <c r="C1104" s="13" t="s">
        <v>2581</v>
      </c>
      <c r="D1104" s="13" t="s">
        <v>2582</v>
      </c>
      <c r="E1104" s="10">
        <v>1121826097</v>
      </c>
      <c r="F1104" t="s">
        <v>35</v>
      </c>
      <c r="G1104" t="s">
        <v>2583</v>
      </c>
      <c r="H1104" s="14">
        <v>1</v>
      </c>
      <c r="I1104" s="10" t="s">
        <v>28</v>
      </c>
      <c r="J1104" s="1">
        <v>45560</v>
      </c>
      <c r="K1104" s="1">
        <v>45590</v>
      </c>
      <c r="L1104" s="25">
        <f ca="1">CLIENTES[[#This Row],[Fecha Vencimiento]]-$J$6</f>
        <v>-5</v>
      </c>
      <c r="N1104" s="1" t="str">
        <f t="shared" ca="1" si="34"/>
        <v>Vencido</v>
      </c>
      <c r="O1104" s="19"/>
      <c r="P1104" s="2"/>
      <c r="Q1104" s="2">
        <f t="shared" si="35"/>
        <v>0</v>
      </c>
    </row>
    <row r="1105" spans="3:17" x14ac:dyDescent="0.25">
      <c r="C1105" s="13" t="s">
        <v>2584</v>
      </c>
      <c r="D1105" s="13" t="s">
        <v>2585</v>
      </c>
      <c r="E1105" s="10">
        <v>1136025527</v>
      </c>
      <c r="F1105" t="s">
        <v>35</v>
      </c>
      <c r="G1105" t="s">
        <v>2586</v>
      </c>
      <c r="H1105" s="14">
        <v>3</v>
      </c>
      <c r="I1105" s="10" t="s">
        <v>28</v>
      </c>
      <c r="J1105" s="1">
        <v>45573</v>
      </c>
      <c r="K1105" s="1">
        <v>45605</v>
      </c>
      <c r="L1105" s="25">
        <f ca="1">CLIENTES[[#This Row],[Fecha Vencimiento]]-$J$6</f>
        <v>10</v>
      </c>
      <c r="N1105" s="1" t="str">
        <f t="shared" ca="1" si="34"/>
        <v>Al dia</v>
      </c>
      <c r="O1105" s="19"/>
      <c r="P1105" s="2"/>
      <c r="Q1105" s="2">
        <f t="shared" si="35"/>
        <v>0</v>
      </c>
    </row>
    <row r="1106" spans="3:17" x14ac:dyDescent="0.25">
      <c r="C1106" s="13" t="s">
        <v>2587</v>
      </c>
      <c r="D1106" s="13" t="s">
        <v>1541</v>
      </c>
      <c r="E1106" s="10">
        <v>1131815604</v>
      </c>
      <c r="F1106" t="s">
        <v>35</v>
      </c>
      <c r="G1106" t="s">
        <v>2588</v>
      </c>
      <c r="H1106" s="14">
        <v>2</v>
      </c>
      <c r="I1106" s="10" t="s">
        <v>28</v>
      </c>
      <c r="J1106" s="1">
        <v>45555</v>
      </c>
      <c r="K1106" s="1">
        <v>45577</v>
      </c>
      <c r="L1106" s="25">
        <f ca="1">CLIENTES[[#This Row],[Fecha Vencimiento]]-$J$6</f>
        <v>-18</v>
      </c>
      <c r="N1106" s="1" t="str">
        <f t="shared" ca="1" si="34"/>
        <v>Vencido</v>
      </c>
      <c r="O1106" s="19"/>
      <c r="P1106" s="2"/>
      <c r="Q1106" s="2">
        <f t="shared" si="35"/>
        <v>0</v>
      </c>
    </row>
    <row r="1107" spans="3:17" x14ac:dyDescent="0.25">
      <c r="C1107" s="13" t="s">
        <v>2587</v>
      </c>
      <c r="D1107" s="13" t="s">
        <v>2589</v>
      </c>
      <c r="F1107" t="s">
        <v>35</v>
      </c>
      <c r="G1107" s="1" t="s">
        <v>2590</v>
      </c>
      <c r="I1107" s="10" t="s">
        <v>28</v>
      </c>
      <c r="J1107" s="1">
        <v>45457</v>
      </c>
      <c r="K1107" s="1">
        <v>45477</v>
      </c>
      <c r="L1107" s="25">
        <f ca="1">CLIENTES[[#This Row],[Fecha Vencimiento]]-$J$6</f>
        <v>-118</v>
      </c>
      <c r="N1107" s="1" t="str">
        <f t="shared" ca="1" si="34"/>
        <v>Vencido</v>
      </c>
      <c r="O1107" s="19"/>
      <c r="P1107" s="2"/>
      <c r="Q1107" s="2">
        <f t="shared" si="35"/>
        <v>0</v>
      </c>
    </row>
    <row r="1108" spans="3:17" x14ac:dyDescent="0.25">
      <c r="C1108" s="13" t="s">
        <v>2587</v>
      </c>
      <c r="D1108" s="13" t="s">
        <v>1541</v>
      </c>
      <c r="F1108" t="s">
        <v>35</v>
      </c>
      <c r="G1108" s="1" t="s">
        <v>2591</v>
      </c>
      <c r="H1108" s="14">
        <v>1</v>
      </c>
      <c r="I1108" s="10" t="s">
        <v>28</v>
      </c>
      <c r="J1108" s="1">
        <v>45572</v>
      </c>
      <c r="K1108" s="1">
        <v>45603</v>
      </c>
      <c r="L1108" s="25">
        <f ca="1">CLIENTES[[#This Row],[Fecha Vencimiento]]-$J$6</f>
        <v>8</v>
      </c>
      <c r="N1108" s="1" t="str">
        <f t="shared" ca="1" si="34"/>
        <v>Al dia</v>
      </c>
      <c r="O1108" s="19">
        <v>45572</v>
      </c>
      <c r="P1108" s="2"/>
      <c r="Q1108" s="2">
        <f t="shared" si="35"/>
        <v>-45572</v>
      </c>
    </row>
    <row r="1109" spans="3:17" x14ac:dyDescent="0.25">
      <c r="C1109" s="13" t="s">
        <v>2592</v>
      </c>
      <c r="D1109" s="13" t="s">
        <v>2593</v>
      </c>
      <c r="E1109" s="10" t="s">
        <v>2931</v>
      </c>
      <c r="F1109" t="s">
        <v>35</v>
      </c>
      <c r="G1109" t="s">
        <v>2594</v>
      </c>
      <c r="H1109" s="14">
        <v>4</v>
      </c>
      <c r="I1109" s="10" t="s">
        <v>28</v>
      </c>
      <c r="J1109" s="1">
        <v>45540</v>
      </c>
      <c r="K1109" s="1">
        <v>45549</v>
      </c>
      <c r="L1109" s="25">
        <f ca="1">CLIENTES[[#This Row],[Fecha Vencimiento]]-$J$6</f>
        <v>-46</v>
      </c>
      <c r="N1109" s="1" t="str">
        <f t="shared" ca="1" si="34"/>
        <v>Vencido</v>
      </c>
      <c r="O1109" s="19"/>
      <c r="P1109" s="2"/>
      <c r="Q1109" s="2">
        <f t="shared" si="35"/>
        <v>0</v>
      </c>
    </row>
    <row r="1110" spans="3:17" x14ac:dyDescent="0.25">
      <c r="C1110" s="13" t="s">
        <v>2592</v>
      </c>
      <c r="D1110" s="13" t="s">
        <v>2595</v>
      </c>
      <c r="E1110" s="10">
        <v>1136324713</v>
      </c>
      <c r="F1110" t="s">
        <v>35</v>
      </c>
      <c r="G1110" t="s">
        <v>2596</v>
      </c>
      <c r="H1110" s="14">
        <v>1</v>
      </c>
      <c r="I1110" s="10" t="s">
        <v>28</v>
      </c>
      <c r="J1110" s="1">
        <v>45548</v>
      </c>
      <c r="K1110" s="1">
        <v>45578</v>
      </c>
      <c r="L1110" s="25">
        <f ca="1">CLIENTES[[#This Row],[Fecha Vencimiento]]-$J$6</f>
        <v>-17</v>
      </c>
      <c r="N1110" s="1" t="str">
        <f t="shared" ca="1" si="34"/>
        <v>Vencido</v>
      </c>
      <c r="O1110" s="19">
        <v>45548</v>
      </c>
      <c r="P1110" s="2"/>
      <c r="Q1110" s="2">
        <f t="shared" si="35"/>
        <v>-45548</v>
      </c>
    </row>
    <row r="1111" spans="3:17" x14ac:dyDescent="0.25">
      <c r="C1111" s="13" t="s">
        <v>2592</v>
      </c>
      <c r="D1111" s="13" t="s">
        <v>2595</v>
      </c>
      <c r="E1111" s="10">
        <v>1136324713</v>
      </c>
      <c r="F1111" t="s">
        <v>35</v>
      </c>
      <c r="G1111" t="s">
        <v>2597</v>
      </c>
      <c r="H1111" s="14">
        <v>1</v>
      </c>
      <c r="I1111" s="10" t="s">
        <v>28</v>
      </c>
      <c r="J1111" s="1">
        <v>45547</v>
      </c>
      <c r="K1111" s="1">
        <v>45577</v>
      </c>
      <c r="L1111" s="25">
        <f ca="1">CLIENTES[[#This Row],[Fecha Vencimiento]]-$J$6</f>
        <v>-18</v>
      </c>
      <c r="N1111" s="1" t="str">
        <f t="shared" ca="1" si="34"/>
        <v>Vencido</v>
      </c>
      <c r="O1111" s="19">
        <v>45547</v>
      </c>
      <c r="P1111" s="2"/>
      <c r="Q1111" s="2">
        <f t="shared" si="35"/>
        <v>-45547</v>
      </c>
    </row>
    <row r="1112" spans="3:17" x14ac:dyDescent="0.25">
      <c r="C1112" s="13" t="s">
        <v>2598</v>
      </c>
      <c r="D1112" s="13" t="s">
        <v>992</v>
      </c>
      <c r="E1112" s="10">
        <v>1144943626</v>
      </c>
      <c r="F1112" t="s">
        <v>35</v>
      </c>
      <c r="G1112" t="s">
        <v>2599</v>
      </c>
      <c r="H1112" s="14">
        <v>6</v>
      </c>
      <c r="I1112" s="10" t="s">
        <v>28</v>
      </c>
      <c r="J1112" s="1">
        <v>45562</v>
      </c>
      <c r="K1112" s="1">
        <v>45592</v>
      </c>
      <c r="L1112" s="25">
        <f ca="1">CLIENTES[[#This Row],[Fecha Vencimiento]]-$J$6</f>
        <v>-3</v>
      </c>
      <c r="N1112" s="1" t="str">
        <f t="shared" ca="1" si="34"/>
        <v>Vencido</v>
      </c>
      <c r="O1112" s="19"/>
      <c r="P1112" s="2"/>
      <c r="Q1112" s="2">
        <f t="shared" si="35"/>
        <v>0</v>
      </c>
    </row>
    <row r="1113" spans="3:17" x14ac:dyDescent="0.25">
      <c r="C1113" s="13" t="s">
        <v>2600</v>
      </c>
      <c r="D1113" s="13" t="s">
        <v>2601</v>
      </c>
      <c r="F1113" t="s">
        <v>35</v>
      </c>
      <c r="G1113" t="s">
        <v>2602</v>
      </c>
      <c r="H1113" s="14">
        <v>5</v>
      </c>
      <c r="I1113" s="10" t="s">
        <v>28</v>
      </c>
      <c r="J1113" s="1">
        <v>45569</v>
      </c>
      <c r="K1113" s="1">
        <v>45620</v>
      </c>
      <c r="L1113" s="25">
        <f ca="1">CLIENTES[[#This Row],[Fecha Vencimiento]]-$J$6</f>
        <v>25</v>
      </c>
      <c r="N1113" s="1" t="str">
        <f t="shared" ca="1" si="34"/>
        <v>Al dia</v>
      </c>
      <c r="O1113" s="19"/>
      <c r="P1113" s="2"/>
      <c r="Q1113" s="2">
        <f t="shared" si="35"/>
        <v>0</v>
      </c>
    </row>
    <row r="1114" spans="3:17" x14ac:dyDescent="0.25">
      <c r="C1114" s="13" t="s">
        <v>2600</v>
      </c>
      <c r="D1114" s="13" t="s">
        <v>249</v>
      </c>
      <c r="E1114" s="10">
        <v>1136180504</v>
      </c>
      <c r="F1114" t="s">
        <v>35</v>
      </c>
      <c r="G1114" t="s">
        <v>2603</v>
      </c>
      <c r="H1114" s="14">
        <v>2</v>
      </c>
      <c r="I1114" s="10" t="s">
        <v>28</v>
      </c>
      <c r="J1114" s="1">
        <v>45573</v>
      </c>
      <c r="K1114" s="1">
        <v>45603</v>
      </c>
      <c r="L1114" s="25">
        <f ca="1">CLIENTES[[#This Row],[Fecha Vencimiento]]-$J$6</f>
        <v>8</v>
      </c>
      <c r="N1114" s="1" t="str">
        <f t="shared" ca="1" si="34"/>
        <v>Al dia</v>
      </c>
      <c r="O1114" s="19"/>
      <c r="P1114" s="2"/>
      <c r="Q1114" s="2">
        <f t="shared" si="35"/>
        <v>0</v>
      </c>
    </row>
    <row r="1115" spans="3:17" x14ac:dyDescent="0.25">
      <c r="C1115" s="13" t="s">
        <v>2604</v>
      </c>
      <c r="D1115" s="13" t="s">
        <v>249</v>
      </c>
      <c r="E1115" s="10">
        <v>1136180504</v>
      </c>
      <c r="F1115" t="s">
        <v>35</v>
      </c>
      <c r="G1115" t="s">
        <v>2605</v>
      </c>
      <c r="H1115" s="14">
        <v>1</v>
      </c>
      <c r="I1115" s="10" t="s">
        <v>28</v>
      </c>
      <c r="J1115" s="1">
        <v>45558</v>
      </c>
      <c r="K1115" s="1">
        <v>45588</v>
      </c>
      <c r="L1115" s="25">
        <f ca="1">CLIENTES[[#This Row],[Fecha Vencimiento]]-$J$6</f>
        <v>-7</v>
      </c>
      <c r="N1115" s="1" t="str">
        <f t="shared" ca="1" si="34"/>
        <v>Vencido</v>
      </c>
      <c r="O1115" s="19"/>
      <c r="P1115" s="2"/>
      <c r="Q1115" s="2">
        <f t="shared" si="35"/>
        <v>0</v>
      </c>
    </row>
    <row r="1116" spans="3:17" x14ac:dyDescent="0.25">
      <c r="C1116" s="13" t="s">
        <v>2606</v>
      </c>
      <c r="D1116" s="13" t="s">
        <v>374</v>
      </c>
      <c r="E1116" s="10">
        <v>1134863579</v>
      </c>
      <c r="F1116" t="s">
        <v>26</v>
      </c>
      <c r="G1116" t="s">
        <v>2607</v>
      </c>
      <c r="H1116" s="14">
        <v>1</v>
      </c>
      <c r="I1116" s="10" t="s">
        <v>28</v>
      </c>
      <c r="J1116" s="1">
        <v>45588</v>
      </c>
      <c r="K1116" s="1">
        <v>45619</v>
      </c>
      <c r="L1116" s="25">
        <f ca="1">CLIENTES[[#This Row],[Fecha Vencimiento]]-$J$6</f>
        <v>24</v>
      </c>
      <c r="N1116" s="1" t="str">
        <f t="shared" ca="1" si="34"/>
        <v>Al dia</v>
      </c>
      <c r="O1116" s="19">
        <v>45588</v>
      </c>
      <c r="P1116" s="2"/>
      <c r="Q1116" s="2">
        <f t="shared" si="35"/>
        <v>-45588</v>
      </c>
    </row>
    <row r="1117" spans="3:17" x14ac:dyDescent="0.25">
      <c r="C1117" s="13" t="s">
        <v>2608</v>
      </c>
      <c r="D1117" s="13" t="s">
        <v>2609</v>
      </c>
      <c r="E1117" s="10" t="s">
        <v>2931</v>
      </c>
      <c r="F1117" t="s">
        <v>35</v>
      </c>
      <c r="G1117" t="s">
        <v>2610</v>
      </c>
      <c r="H1117" s="14">
        <v>3</v>
      </c>
      <c r="I1117" s="10" t="s">
        <v>28</v>
      </c>
      <c r="J1117" s="1">
        <v>45579</v>
      </c>
      <c r="K1117" s="1">
        <v>45610</v>
      </c>
      <c r="L1117" s="25">
        <f ca="1">CLIENTES[[#This Row],[Fecha Vencimiento]]-$J$6</f>
        <v>15</v>
      </c>
      <c r="N1117" s="1" t="str">
        <f t="shared" ca="1" si="34"/>
        <v>Al dia</v>
      </c>
      <c r="O1117" s="19"/>
      <c r="P1117" s="2"/>
      <c r="Q1117" s="2">
        <f t="shared" si="35"/>
        <v>0</v>
      </c>
    </row>
    <row r="1118" spans="3:17" x14ac:dyDescent="0.25">
      <c r="C1118" s="13" t="s">
        <v>2608</v>
      </c>
      <c r="D1118" s="13" t="s">
        <v>2611</v>
      </c>
      <c r="E1118" s="10">
        <v>1123406100</v>
      </c>
      <c r="F1118" t="s">
        <v>35</v>
      </c>
      <c r="G1118" t="s">
        <v>2612</v>
      </c>
      <c r="H1118" s="14">
        <v>1</v>
      </c>
      <c r="I1118" s="10" t="s">
        <v>28</v>
      </c>
      <c r="J1118" s="1">
        <v>45577</v>
      </c>
      <c r="K1118" s="1">
        <v>45608</v>
      </c>
      <c r="L1118" s="25">
        <f ca="1">CLIENTES[[#This Row],[Fecha Vencimiento]]-$J$6</f>
        <v>13</v>
      </c>
      <c r="N1118" s="1" t="str">
        <f t="shared" ca="1" si="34"/>
        <v>Al dia</v>
      </c>
      <c r="O1118" s="19">
        <v>45577</v>
      </c>
      <c r="P1118" s="2"/>
      <c r="Q1118" s="2">
        <f t="shared" si="35"/>
        <v>-45577</v>
      </c>
    </row>
    <row r="1119" spans="3:17" x14ac:dyDescent="0.25">
      <c r="C1119" s="13" t="s">
        <v>2613</v>
      </c>
      <c r="D1119" s="13" t="s">
        <v>2614</v>
      </c>
      <c r="F1119" t="s">
        <v>35</v>
      </c>
      <c r="G1119" t="s">
        <v>2615</v>
      </c>
      <c r="I1119" s="10" t="s">
        <v>28</v>
      </c>
      <c r="J1119" s="1">
        <v>45461</v>
      </c>
      <c r="K1119" s="1">
        <v>45491</v>
      </c>
      <c r="L1119" s="25">
        <f ca="1">CLIENTES[[#This Row],[Fecha Vencimiento]]-$J$6</f>
        <v>-104</v>
      </c>
      <c r="N1119" s="1" t="str">
        <f t="shared" ca="1" si="34"/>
        <v>Vencido</v>
      </c>
      <c r="O1119" s="19"/>
      <c r="P1119" s="2"/>
      <c r="Q1119" s="2">
        <f t="shared" si="35"/>
        <v>0</v>
      </c>
    </row>
    <row r="1120" spans="3:17" x14ac:dyDescent="0.25">
      <c r="C1120" s="13" t="s">
        <v>2616</v>
      </c>
      <c r="D1120" s="13" t="s">
        <v>628</v>
      </c>
      <c r="E1120" s="10">
        <v>1158540137</v>
      </c>
      <c r="F1120" t="s">
        <v>35</v>
      </c>
      <c r="G1120" t="s">
        <v>2617</v>
      </c>
      <c r="H1120" s="14">
        <v>7</v>
      </c>
      <c r="I1120" s="10" t="s">
        <v>28</v>
      </c>
      <c r="J1120" s="1">
        <v>45584</v>
      </c>
      <c r="K1120" s="1">
        <v>45623</v>
      </c>
      <c r="L1120" s="25">
        <f ca="1">CLIENTES[[#This Row],[Fecha Vencimiento]]-$J$6</f>
        <v>28</v>
      </c>
      <c r="N1120" s="1" t="str">
        <f t="shared" ca="1" si="34"/>
        <v>Al dia</v>
      </c>
      <c r="O1120" s="19"/>
      <c r="P1120" s="2"/>
      <c r="Q1120" s="2">
        <f t="shared" si="35"/>
        <v>0</v>
      </c>
    </row>
    <row r="1121" spans="3:17" x14ac:dyDescent="0.25">
      <c r="C1121" s="13" t="s">
        <v>2616</v>
      </c>
      <c r="D1121" s="13" t="s">
        <v>628</v>
      </c>
      <c r="E1121" s="10">
        <v>1158540137</v>
      </c>
      <c r="F1121" t="s">
        <v>35</v>
      </c>
      <c r="G1121" t="s">
        <v>2618</v>
      </c>
      <c r="H1121" s="14">
        <v>1</v>
      </c>
      <c r="I1121" s="10" t="s">
        <v>28</v>
      </c>
      <c r="J1121" s="1">
        <v>45570</v>
      </c>
      <c r="K1121" s="1">
        <v>45601</v>
      </c>
      <c r="L1121" s="25">
        <f ca="1">CLIENTES[[#This Row],[Fecha Vencimiento]]-$J$6</f>
        <v>6</v>
      </c>
      <c r="N1121" s="1" t="str">
        <f t="shared" ca="1" si="34"/>
        <v>Al dia</v>
      </c>
      <c r="O1121" s="19">
        <v>45570</v>
      </c>
      <c r="P1121" s="2"/>
      <c r="Q1121" s="2">
        <f t="shared" si="35"/>
        <v>-45570</v>
      </c>
    </row>
    <row r="1122" spans="3:17" x14ac:dyDescent="0.25">
      <c r="C1122" s="13" t="s">
        <v>2619</v>
      </c>
      <c r="D1122" s="13" t="s">
        <v>2620</v>
      </c>
      <c r="E1122" s="10">
        <v>1168939088</v>
      </c>
      <c r="F1122" t="s">
        <v>35</v>
      </c>
      <c r="G1122" t="s">
        <v>2621</v>
      </c>
      <c r="I1122" s="10" t="s">
        <v>28</v>
      </c>
      <c r="J1122" s="1">
        <v>45510</v>
      </c>
      <c r="K1122" s="1">
        <v>45541</v>
      </c>
      <c r="L1122" s="25">
        <f ca="1">CLIENTES[[#This Row],[Fecha Vencimiento]]-$J$6</f>
        <v>-54</v>
      </c>
      <c r="N1122" s="1" t="str">
        <f t="shared" ca="1" si="34"/>
        <v>Vencido</v>
      </c>
      <c r="O1122" s="19"/>
      <c r="P1122" s="2"/>
      <c r="Q1122" s="2">
        <f t="shared" si="35"/>
        <v>0</v>
      </c>
    </row>
    <row r="1123" spans="3:17" x14ac:dyDescent="0.25">
      <c r="C1123" s="13" t="s">
        <v>2619</v>
      </c>
      <c r="D1123" s="13" t="s">
        <v>2620</v>
      </c>
      <c r="F1123" t="s">
        <v>35</v>
      </c>
      <c r="G1123" t="s">
        <v>2622</v>
      </c>
      <c r="H1123" s="14">
        <v>2</v>
      </c>
      <c r="I1123" s="10" t="s">
        <v>28</v>
      </c>
      <c r="J1123" s="1">
        <v>45570</v>
      </c>
      <c r="K1123" s="1">
        <v>45603</v>
      </c>
      <c r="L1123" s="25">
        <f ca="1">CLIENTES[[#This Row],[Fecha Vencimiento]]-$J$6</f>
        <v>8</v>
      </c>
      <c r="N1123" s="1" t="str">
        <f t="shared" ca="1" si="34"/>
        <v>Al dia</v>
      </c>
      <c r="O1123" s="19">
        <v>45542</v>
      </c>
      <c r="P1123" s="2"/>
      <c r="Q1123" s="2">
        <f t="shared" si="35"/>
        <v>-45542</v>
      </c>
    </row>
    <row r="1124" spans="3:17" x14ac:dyDescent="0.25">
      <c r="C1124" s="13" t="s">
        <v>2623</v>
      </c>
      <c r="D1124" s="13" t="s">
        <v>2456</v>
      </c>
      <c r="E1124" s="10">
        <v>1124993442</v>
      </c>
      <c r="F1124" t="s">
        <v>35</v>
      </c>
      <c r="G1124" t="s">
        <v>2624</v>
      </c>
      <c r="H1124" s="14">
        <v>1</v>
      </c>
      <c r="I1124" s="10" t="s">
        <v>28</v>
      </c>
      <c r="J1124" s="1">
        <v>45563</v>
      </c>
      <c r="K1124" s="1">
        <v>45592</v>
      </c>
      <c r="L1124" s="25">
        <f ca="1">CLIENTES[[#This Row],[Fecha Vencimiento]]-$J$6</f>
        <v>-3</v>
      </c>
      <c r="N1124" s="1" t="str">
        <f t="shared" ca="1" si="34"/>
        <v>Vencido</v>
      </c>
      <c r="O1124" s="19"/>
      <c r="P1124" s="2"/>
      <c r="Q1124" s="2">
        <f t="shared" si="35"/>
        <v>0</v>
      </c>
    </row>
    <row r="1125" spans="3:17" x14ac:dyDescent="0.25">
      <c r="C1125" s="13" t="s">
        <v>2625</v>
      </c>
      <c r="D1125" s="13" t="s">
        <v>2626</v>
      </c>
      <c r="F1125" t="s">
        <v>35</v>
      </c>
      <c r="G1125" t="s">
        <v>2627</v>
      </c>
      <c r="H1125" s="14">
        <v>3</v>
      </c>
      <c r="I1125" s="10" t="s">
        <v>28</v>
      </c>
      <c r="J1125" s="1">
        <v>45530</v>
      </c>
      <c r="K1125" s="1">
        <v>45559</v>
      </c>
      <c r="L1125" s="25">
        <f ca="1">CLIENTES[[#This Row],[Fecha Vencimiento]]-$J$6</f>
        <v>-36</v>
      </c>
      <c r="N1125" s="1" t="str">
        <f t="shared" ca="1" si="34"/>
        <v>Vencido</v>
      </c>
      <c r="O1125" s="19"/>
      <c r="P1125" s="2"/>
      <c r="Q1125" s="2">
        <f t="shared" si="35"/>
        <v>0</v>
      </c>
    </row>
    <row r="1126" spans="3:17" x14ac:dyDescent="0.25">
      <c r="C1126" s="13" t="s">
        <v>2625</v>
      </c>
      <c r="D1126" s="13" t="s">
        <v>2628</v>
      </c>
      <c r="E1126" s="10">
        <v>1171516975</v>
      </c>
      <c r="F1126" t="s">
        <v>35</v>
      </c>
      <c r="G1126" s="1" t="s">
        <v>2629</v>
      </c>
      <c r="H1126" s="14">
        <v>6</v>
      </c>
      <c r="I1126" s="10" t="s">
        <v>28</v>
      </c>
      <c r="J1126" s="1">
        <v>45568</v>
      </c>
      <c r="K1126" s="1">
        <v>45598</v>
      </c>
      <c r="L1126" s="25">
        <f ca="1">CLIENTES[[#This Row],[Fecha Vencimiento]]-$J$6</f>
        <v>3</v>
      </c>
      <c r="N1126" s="1" t="str">
        <f t="shared" ca="1" si="34"/>
        <v>Por vencer</v>
      </c>
      <c r="O1126" s="19"/>
      <c r="P1126" s="2"/>
      <c r="Q1126" s="2">
        <f t="shared" si="35"/>
        <v>0</v>
      </c>
    </row>
    <row r="1127" spans="3:17" x14ac:dyDescent="0.25">
      <c r="C1127" s="13" t="s">
        <v>2630</v>
      </c>
      <c r="D1127" s="13" t="s">
        <v>2631</v>
      </c>
      <c r="E1127" s="10" t="s">
        <v>3108</v>
      </c>
      <c r="F1127" t="s">
        <v>35</v>
      </c>
      <c r="G1127" t="s">
        <v>2632</v>
      </c>
      <c r="H1127" s="14">
        <v>4</v>
      </c>
      <c r="I1127" s="10" t="s">
        <v>28</v>
      </c>
      <c r="J1127" s="1">
        <v>45580</v>
      </c>
      <c r="K1127" s="1">
        <v>45613</v>
      </c>
      <c r="L1127" s="25">
        <f ca="1">CLIENTES[[#This Row],[Fecha Vencimiento]]-$J$6</f>
        <v>18</v>
      </c>
      <c r="N1127" s="1" t="str">
        <f t="shared" ca="1" si="34"/>
        <v>Al dia</v>
      </c>
      <c r="O1127" s="19"/>
      <c r="P1127" s="2"/>
      <c r="Q1127" s="2">
        <f t="shared" si="35"/>
        <v>0</v>
      </c>
    </row>
    <row r="1128" spans="3:17" x14ac:dyDescent="0.25">
      <c r="C1128" s="13" t="s">
        <v>2633</v>
      </c>
      <c r="D1128" s="13" t="s">
        <v>1222</v>
      </c>
      <c r="E1128" s="10">
        <v>1133192419</v>
      </c>
      <c r="F1128" t="s">
        <v>35</v>
      </c>
      <c r="G1128" t="s">
        <v>2634</v>
      </c>
      <c r="H1128" s="14">
        <v>3</v>
      </c>
      <c r="I1128" s="10" t="s">
        <v>28</v>
      </c>
      <c r="J1128" s="1">
        <v>45566</v>
      </c>
      <c r="K1128" s="1">
        <v>45599</v>
      </c>
      <c r="L1128" s="25">
        <f ca="1">CLIENTES[[#This Row],[Fecha Vencimiento]]-$J$6</f>
        <v>4</v>
      </c>
      <c r="N1128" s="1" t="str">
        <f t="shared" ca="1" si="34"/>
        <v>Al dia</v>
      </c>
      <c r="O1128" s="19"/>
      <c r="P1128" s="2"/>
      <c r="Q1128" s="2">
        <f t="shared" si="35"/>
        <v>0</v>
      </c>
    </row>
    <row r="1129" spans="3:17" x14ac:dyDescent="0.25">
      <c r="C1129" s="13" t="s">
        <v>2635</v>
      </c>
      <c r="D1129" s="13" t="s">
        <v>2636</v>
      </c>
      <c r="E1129" s="10">
        <v>1551075743</v>
      </c>
      <c r="F1129" t="s">
        <v>35</v>
      </c>
      <c r="G1129" t="s">
        <v>2637</v>
      </c>
      <c r="H1129" s="14">
        <v>1</v>
      </c>
      <c r="I1129" s="10" t="s">
        <v>28</v>
      </c>
      <c r="J1129" s="1">
        <v>45567</v>
      </c>
      <c r="K1129" s="1">
        <v>45598</v>
      </c>
      <c r="L1129" s="25">
        <f ca="1">CLIENTES[[#This Row],[Fecha Vencimiento]]-$J$6</f>
        <v>3</v>
      </c>
      <c r="N1129" s="1" t="str">
        <f t="shared" ca="1" si="34"/>
        <v>Por vencer</v>
      </c>
      <c r="O1129" s="19">
        <v>45567</v>
      </c>
      <c r="P1129" s="2"/>
      <c r="Q1129" s="2">
        <f t="shared" si="35"/>
        <v>-45567</v>
      </c>
    </row>
    <row r="1130" spans="3:17" x14ac:dyDescent="0.25">
      <c r="C1130" s="13" t="s">
        <v>2638</v>
      </c>
      <c r="D1130" s="13" t="s">
        <v>2639</v>
      </c>
      <c r="E1130" s="10">
        <v>1125061059</v>
      </c>
      <c r="F1130" t="s">
        <v>35</v>
      </c>
      <c r="G1130" t="s">
        <v>2640</v>
      </c>
      <c r="H1130" s="14">
        <v>2</v>
      </c>
      <c r="I1130" s="10" t="s">
        <v>28</v>
      </c>
      <c r="J1130" s="1">
        <v>45567</v>
      </c>
      <c r="K1130" s="1">
        <v>45598</v>
      </c>
      <c r="L1130" s="25">
        <f ca="1">CLIENTES[[#This Row],[Fecha Vencimiento]]-$J$6</f>
        <v>3</v>
      </c>
      <c r="N1130" s="1" t="str">
        <f t="shared" ca="1" si="34"/>
        <v>Por vencer</v>
      </c>
      <c r="O1130" s="19">
        <v>45537</v>
      </c>
      <c r="P1130" s="2"/>
      <c r="Q1130" s="2">
        <f t="shared" si="35"/>
        <v>-45537</v>
      </c>
    </row>
    <row r="1131" spans="3:17" x14ac:dyDescent="0.25">
      <c r="C1131" s="13" t="s">
        <v>2638</v>
      </c>
      <c r="D1131" s="13" t="s">
        <v>2639</v>
      </c>
      <c r="E1131" s="10" t="s">
        <v>3110</v>
      </c>
      <c r="F1131" t="s">
        <v>35</v>
      </c>
      <c r="G1131" t="s">
        <v>2641</v>
      </c>
      <c r="I1131" s="10" t="s">
        <v>28</v>
      </c>
      <c r="J1131" s="1">
        <v>45514</v>
      </c>
      <c r="K1131" s="1">
        <v>45544</v>
      </c>
      <c r="L1131" s="25">
        <f ca="1">CLIENTES[[#This Row],[Fecha Vencimiento]]-$J$6</f>
        <v>-51</v>
      </c>
      <c r="N1131" s="1" t="str">
        <f t="shared" ca="1" si="34"/>
        <v>Vencido</v>
      </c>
      <c r="O1131" s="19"/>
      <c r="P1131" s="2"/>
      <c r="Q1131" s="2">
        <f t="shared" si="35"/>
        <v>0</v>
      </c>
    </row>
    <row r="1132" spans="3:17" x14ac:dyDescent="0.25">
      <c r="C1132" s="13" t="s">
        <v>2642</v>
      </c>
      <c r="D1132" s="13" t="s">
        <v>2643</v>
      </c>
      <c r="E1132" s="10">
        <v>1162561834</v>
      </c>
      <c r="F1132" t="s">
        <v>35</v>
      </c>
      <c r="G1132" t="s">
        <v>2644</v>
      </c>
      <c r="I1132" s="10" t="s">
        <v>28</v>
      </c>
      <c r="J1132" s="1">
        <v>45506</v>
      </c>
      <c r="K1132" s="1">
        <v>45537</v>
      </c>
      <c r="L1132" s="25">
        <f ca="1">CLIENTES[[#This Row],[Fecha Vencimiento]]-$J$6</f>
        <v>-58</v>
      </c>
      <c r="N1132" s="1" t="str">
        <f t="shared" ca="1" si="34"/>
        <v>Vencido</v>
      </c>
      <c r="O1132" s="19"/>
      <c r="P1132" s="2"/>
      <c r="Q1132" s="2">
        <f t="shared" si="35"/>
        <v>0</v>
      </c>
    </row>
    <row r="1133" spans="3:17" x14ac:dyDescent="0.25">
      <c r="C1133" s="13" t="s">
        <v>2645</v>
      </c>
      <c r="D1133" s="13" t="s">
        <v>1836</v>
      </c>
      <c r="E1133" s="10">
        <v>1157009024</v>
      </c>
      <c r="F1133" t="s">
        <v>35</v>
      </c>
      <c r="G1133" t="s">
        <v>2646</v>
      </c>
      <c r="H1133" s="14">
        <v>5</v>
      </c>
      <c r="I1133" s="10" t="s">
        <v>28</v>
      </c>
      <c r="J1133" s="1">
        <v>45534</v>
      </c>
      <c r="K1133" s="1">
        <v>45561</v>
      </c>
      <c r="L1133" s="25">
        <f ca="1">CLIENTES[[#This Row],[Fecha Vencimiento]]-$J$6</f>
        <v>-34</v>
      </c>
      <c r="N1133" s="1" t="str">
        <f t="shared" ca="1" si="34"/>
        <v>Vencido</v>
      </c>
      <c r="O1133" s="19"/>
      <c r="P1133" s="2"/>
      <c r="Q1133" s="2">
        <f t="shared" si="35"/>
        <v>0</v>
      </c>
    </row>
    <row r="1134" spans="3:17" x14ac:dyDescent="0.25">
      <c r="C1134" s="13" t="s">
        <v>2647</v>
      </c>
      <c r="D1134" s="13" t="s">
        <v>2648</v>
      </c>
      <c r="F1134" t="s">
        <v>77</v>
      </c>
      <c r="G1134" t="s">
        <v>2649</v>
      </c>
      <c r="H1134" s="14">
        <v>1</v>
      </c>
      <c r="I1134" s="10"/>
      <c r="J1134" s="1">
        <v>45318</v>
      </c>
      <c r="K1134" s="1">
        <v>45349</v>
      </c>
      <c r="L1134" s="25">
        <f ca="1">CLIENTES[[#This Row],[Fecha Vencimiento]]-$J$6</f>
        <v>-246</v>
      </c>
      <c r="N1134" s="1" t="str">
        <f t="shared" ca="1" si="34"/>
        <v>Vencido</v>
      </c>
      <c r="O1134" s="19"/>
      <c r="P1134" s="2"/>
      <c r="Q1134" s="2">
        <f t="shared" si="35"/>
        <v>0</v>
      </c>
    </row>
    <row r="1135" spans="3:17" x14ac:dyDescent="0.25">
      <c r="C1135" s="13" t="s">
        <v>2647</v>
      </c>
      <c r="D1135" s="13" t="s">
        <v>374</v>
      </c>
      <c r="E1135" s="10">
        <v>1124681318</v>
      </c>
      <c r="F1135" t="s">
        <v>35</v>
      </c>
      <c r="G1135" t="s">
        <v>2650</v>
      </c>
      <c r="H1135" s="14">
        <v>3</v>
      </c>
      <c r="I1135" s="10" t="s">
        <v>28</v>
      </c>
      <c r="J1135" s="1">
        <v>45580</v>
      </c>
      <c r="K1135" s="1">
        <v>45610</v>
      </c>
      <c r="L1135" s="25">
        <f ca="1">CLIENTES[[#This Row],[Fecha Vencimiento]]-$J$6</f>
        <v>15</v>
      </c>
      <c r="N1135" s="1" t="str">
        <f t="shared" ca="1" si="34"/>
        <v>Al dia</v>
      </c>
      <c r="O1135" s="19"/>
      <c r="P1135" s="2"/>
      <c r="Q1135" s="2">
        <f t="shared" si="35"/>
        <v>0</v>
      </c>
    </row>
    <row r="1136" spans="3:17" x14ac:dyDescent="0.25">
      <c r="C1136" s="13" t="s">
        <v>2651</v>
      </c>
      <c r="D1136" s="13" t="s">
        <v>2652</v>
      </c>
      <c r="F1136" t="s">
        <v>35</v>
      </c>
      <c r="G1136" t="s">
        <v>207</v>
      </c>
      <c r="I1136" s="10" t="s">
        <v>28</v>
      </c>
      <c r="J1136" s="1">
        <v>45462</v>
      </c>
      <c r="K1136" s="1">
        <v>45460</v>
      </c>
      <c r="L1136" s="25">
        <f ca="1">CLIENTES[[#This Row],[Fecha Vencimiento]]-$J$6</f>
        <v>-135</v>
      </c>
      <c r="N1136" s="1" t="str">
        <f t="shared" ca="1" si="34"/>
        <v>Vencido</v>
      </c>
      <c r="O1136" s="19"/>
      <c r="P1136" s="2"/>
      <c r="Q1136" s="2">
        <f t="shared" si="35"/>
        <v>0</v>
      </c>
    </row>
    <row r="1137" spans="3:17" x14ac:dyDescent="0.25">
      <c r="C1137" s="13" t="s">
        <v>2653</v>
      </c>
      <c r="D1137" s="13" t="s">
        <v>2654</v>
      </c>
      <c r="F1137" t="s">
        <v>35</v>
      </c>
      <c r="G1137" t="s">
        <v>2655</v>
      </c>
      <c r="H1137" s="14">
        <v>6</v>
      </c>
      <c r="I1137" s="10" t="s">
        <v>28</v>
      </c>
      <c r="J1137" s="1">
        <v>45567</v>
      </c>
      <c r="K1137" s="1">
        <v>45625</v>
      </c>
      <c r="L1137" s="25">
        <f ca="1">CLIENTES[[#This Row],[Fecha Vencimiento]]-$J$6</f>
        <v>30</v>
      </c>
      <c r="N1137" s="1" t="str">
        <f t="shared" ca="1" si="34"/>
        <v>Al dia</v>
      </c>
      <c r="O1137" s="19"/>
      <c r="P1137" s="2"/>
      <c r="Q1137" s="2">
        <f t="shared" si="35"/>
        <v>0</v>
      </c>
    </row>
    <row r="1138" spans="3:17" x14ac:dyDescent="0.25">
      <c r="C1138" s="13" t="s">
        <v>2653</v>
      </c>
      <c r="D1138" s="13" t="s">
        <v>2656</v>
      </c>
      <c r="F1138" t="s">
        <v>35</v>
      </c>
      <c r="G1138" t="s">
        <v>2657</v>
      </c>
      <c r="H1138" s="14">
        <v>5</v>
      </c>
      <c r="I1138" s="10" t="s">
        <v>28</v>
      </c>
      <c r="J1138" s="1">
        <v>45577</v>
      </c>
      <c r="K1138" s="1">
        <v>45611</v>
      </c>
      <c r="L1138" s="25">
        <f ca="1">CLIENTES[[#This Row],[Fecha Vencimiento]]-$J$6</f>
        <v>16</v>
      </c>
      <c r="N1138" s="1" t="str">
        <f t="shared" ca="1" si="34"/>
        <v>Al dia</v>
      </c>
      <c r="O1138" s="19"/>
      <c r="P1138" s="2"/>
      <c r="Q1138" s="2">
        <f t="shared" si="35"/>
        <v>0</v>
      </c>
    </row>
    <row r="1139" spans="3:17" x14ac:dyDescent="0.25">
      <c r="C1139" s="13" t="s">
        <v>2658</v>
      </c>
      <c r="D1139" s="13" t="s">
        <v>2659</v>
      </c>
      <c r="E1139" s="10">
        <v>1122898238</v>
      </c>
      <c r="F1139" t="s">
        <v>35</v>
      </c>
      <c r="G1139" s="1" t="s">
        <v>2660</v>
      </c>
      <c r="H1139" s="14">
        <v>4</v>
      </c>
      <c r="I1139" s="10" t="s">
        <v>28</v>
      </c>
      <c r="J1139" s="1">
        <v>45581</v>
      </c>
      <c r="K1139" s="1">
        <v>45611</v>
      </c>
      <c r="L1139" s="25">
        <f ca="1">CLIENTES[[#This Row],[Fecha Vencimiento]]-$J$6</f>
        <v>16</v>
      </c>
      <c r="N1139" s="1" t="str">
        <f t="shared" ref="N1139:N1202" ca="1" si="36">IF(L1139&lt;0,"Vencido",IF(L1139=0,"Vence hoy",IF(L1139&lt;4,"Por vencer","Al dia")))</f>
        <v>Al dia</v>
      </c>
      <c r="O1139" s="19"/>
      <c r="P1139" s="2"/>
      <c r="Q1139" s="2">
        <f t="shared" si="35"/>
        <v>0</v>
      </c>
    </row>
    <row r="1140" spans="3:17" x14ac:dyDescent="0.25">
      <c r="C1140" s="13" t="s">
        <v>2661</v>
      </c>
      <c r="D1140" s="13" t="s">
        <v>2662</v>
      </c>
      <c r="E1140" s="10">
        <v>1133427805</v>
      </c>
      <c r="F1140" t="s">
        <v>35</v>
      </c>
      <c r="G1140" t="s">
        <v>2663</v>
      </c>
      <c r="H1140" s="14">
        <v>2</v>
      </c>
      <c r="I1140" s="10" t="s">
        <v>28</v>
      </c>
      <c r="J1140" s="1">
        <v>45584</v>
      </c>
      <c r="K1140" s="1">
        <v>45615</v>
      </c>
      <c r="L1140" s="25">
        <f ca="1">CLIENTES[[#This Row],[Fecha Vencimiento]]-$J$6</f>
        <v>20</v>
      </c>
      <c r="N1140" s="1" t="str">
        <f t="shared" ca="1" si="36"/>
        <v>Al dia</v>
      </c>
      <c r="O1140" s="19"/>
      <c r="P1140" s="2"/>
      <c r="Q1140" s="2">
        <f t="shared" si="35"/>
        <v>0</v>
      </c>
    </row>
    <row r="1141" spans="3:17" x14ac:dyDescent="0.25">
      <c r="C1141" s="13" t="s">
        <v>2661</v>
      </c>
      <c r="D1141" s="13" t="s">
        <v>2664</v>
      </c>
      <c r="E1141" s="10">
        <v>1157573624</v>
      </c>
      <c r="F1141" t="s">
        <v>35</v>
      </c>
      <c r="G1141" t="s">
        <v>2665</v>
      </c>
      <c r="H1141" s="14">
        <v>6</v>
      </c>
      <c r="I1141" s="10" t="s">
        <v>28</v>
      </c>
      <c r="J1141" s="1">
        <v>45591</v>
      </c>
      <c r="K1141" s="1">
        <v>45622</v>
      </c>
      <c r="L1141" s="25">
        <f ca="1">CLIENTES[[#This Row],[Fecha Vencimiento]]-$J$6</f>
        <v>27</v>
      </c>
      <c r="N1141" s="1" t="str">
        <f t="shared" ca="1" si="36"/>
        <v>Al dia</v>
      </c>
      <c r="O1141" s="19"/>
      <c r="P1141" s="2"/>
      <c r="Q1141" s="2">
        <f t="shared" si="35"/>
        <v>0</v>
      </c>
    </row>
    <row r="1142" spans="3:17" x14ac:dyDescent="0.25">
      <c r="C1142" s="13" t="s">
        <v>2661</v>
      </c>
      <c r="D1142" s="13" t="s">
        <v>2666</v>
      </c>
      <c r="F1142" t="s">
        <v>232</v>
      </c>
      <c r="G1142" t="s">
        <v>2667</v>
      </c>
      <c r="H1142" s="14">
        <v>1</v>
      </c>
      <c r="I1142" s="10" t="s">
        <v>183</v>
      </c>
      <c r="J1142" s="1">
        <v>45499</v>
      </c>
      <c r="K1142" s="1">
        <v>45530</v>
      </c>
      <c r="L1142" s="25">
        <f ca="1">CLIENTES[[#This Row],[Fecha Vencimiento]]-$J$6</f>
        <v>-65</v>
      </c>
      <c r="N1142" s="1" t="str">
        <f t="shared" ca="1" si="36"/>
        <v>Vencido</v>
      </c>
      <c r="O1142" s="19">
        <v>45499</v>
      </c>
      <c r="P1142" s="2"/>
      <c r="Q1142" s="2">
        <f t="shared" si="35"/>
        <v>-45499</v>
      </c>
    </row>
    <row r="1143" spans="3:17" x14ac:dyDescent="0.25">
      <c r="C1143" s="13" t="s">
        <v>2668</v>
      </c>
      <c r="D1143" s="21" t="s">
        <v>2669</v>
      </c>
      <c r="E1143" s="10">
        <v>1159042697</v>
      </c>
      <c r="F1143" t="s">
        <v>35</v>
      </c>
      <c r="G1143" t="s">
        <v>2670</v>
      </c>
      <c r="H1143" s="14">
        <v>6</v>
      </c>
      <c r="I1143" s="10" t="s">
        <v>28</v>
      </c>
      <c r="J1143" s="1">
        <v>45568</v>
      </c>
      <c r="K1143" s="1">
        <v>45626</v>
      </c>
      <c r="L1143" s="25">
        <f ca="1">CLIENTES[[#This Row],[Fecha Vencimiento]]-$J$6</f>
        <v>31</v>
      </c>
      <c r="N1143" s="1" t="str">
        <f t="shared" ca="1" si="36"/>
        <v>Al dia</v>
      </c>
      <c r="O1143" s="19"/>
      <c r="P1143" s="2"/>
      <c r="Q1143" s="2">
        <f t="shared" si="35"/>
        <v>0</v>
      </c>
    </row>
    <row r="1144" spans="3:17" x14ac:dyDescent="0.25">
      <c r="C1144" s="13" t="s">
        <v>2671</v>
      </c>
      <c r="D1144" s="13" t="s">
        <v>2672</v>
      </c>
      <c r="E1144" s="10">
        <v>1125257939</v>
      </c>
      <c r="F1144" t="s">
        <v>35</v>
      </c>
      <c r="G1144" t="s">
        <v>2673</v>
      </c>
      <c r="H1144" s="14">
        <v>7</v>
      </c>
      <c r="I1144" s="10" t="s">
        <v>28</v>
      </c>
      <c r="J1144" s="1">
        <v>45589</v>
      </c>
      <c r="K1144" s="1">
        <v>45622</v>
      </c>
      <c r="L1144" s="25">
        <f ca="1">CLIENTES[[#This Row],[Fecha Vencimiento]]-$J$6</f>
        <v>27</v>
      </c>
      <c r="N1144" s="1" t="str">
        <f t="shared" ca="1" si="36"/>
        <v>Al dia</v>
      </c>
      <c r="O1144" s="19"/>
      <c r="P1144" s="2"/>
      <c r="Q1144" s="2">
        <f t="shared" si="35"/>
        <v>0</v>
      </c>
    </row>
    <row r="1145" spans="3:17" x14ac:dyDescent="0.25">
      <c r="C1145" s="13" t="s">
        <v>2671</v>
      </c>
      <c r="D1145" s="13" t="s">
        <v>2674</v>
      </c>
      <c r="F1145" t="s">
        <v>35</v>
      </c>
      <c r="G1145" t="s">
        <v>2675</v>
      </c>
      <c r="H1145" s="14">
        <v>1</v>
      </c>
      <c r="I1145" s="10" t="s">
        <v>28</v>
      </c>
      <c r="J1145" s="1">
        <v>45572</v>
      </c>
      <c r="K1145" s="1">
        <v>45603</v>
      </c>
      <c r="L1145" s="25">
        <f ca="1">CLIENTES[[#This Row],[Fecha Vencimiento]]-$J$6</f>
        <v>8</v>
      </c>
      <c r="N1145" s="1" t="str">
        <f t="shared" ca="1" si="36"/>
        <v>Al dia</v>
      </c>
      <c r="O1145" s="19">
        <v>45572</v>
      </c>
      <c r="P1145" s="2"/>
      <c r="Q1145" s="2">
        <f t="shared" si="35"/>
        <v>-45572</v>
      </c>
    </row>
    <row r="1146" spans="3:17" x14ac:dyDescent="0.25">
      <c r="C1146" s="13" t="s">
        <v>2676</v>
      </c>
      <c r="D1146" s="13" t="s">
        <v>2677</v>
      </c>
      <c r="E1146" s="10" t="s">
        <v>2931</v>
      </c>
      <c r="F1146" t="s">
        <v>35</v>
      </c>
      <c r="G1146" t="s">
        <v>2678</v>
      </c>
      <c r="I1146" s="10" t="s">
        <v>28</v>
      </c>
      <c r="J1146" s="1">
        <v>45524</v>
      </c>
      <c r="K1146" s="1">
        <v>45549</v>
      </c>
      <c r="L1146" s="25">
        <f ca="1">CLIENTES[[#This Row],[Fecha Vencimiento]]-$J$6</f>
        <v>-46</v>
      </c>
      <c r="N1146" s="1" t="str">
        <f t="shared" ca="1" si="36"/>
        <v>Vencido</v>
      </c>
      <c r="O1146" s="19"/>
      <c r="P1146" s="2"/>
      <c r="Q1146" s="2">
        <f t="shared" si="35"/>
        <v>0</v>
      </c>
    </row>
    <row r="1147" spans="3:17" x14ac:dyDescent="0.25">
      <c r="C1147" s="13" t="s">
        <v>2679</v>
      </c>
      <c r="D1147" s="13" t="s">
        <v>2680</v>
      </c>
      <c r="E1147" s="10">
        <v>1164974936</v>
      </c>
      <c r="F1147" t="s">
        <v>35</v>
      </c>
      <c r="G1147" t="s">
        <v>2681</v>
      </c>
      <c r="H1147" s="14">
        <v>3</v>
      </c>
      <c r="I1147" s="10" t="s">
        <v>28</v>
      </c>
      <c r="J1147" s="1">
        <v>45565</v>
      </c>
      <c r="K1147" s="1">
        <v>45599</v>
      </c>
      <c r="L1147" s="25">
        <f ca="1">CLIENTES[[#This Row],[Fecha Vencimiento]]-$J$6</f>
        <v>4</v>
      </c>
      <c r="N1147" s="1" t="str">
        <f t="shared" ca="1" si="36"/>
        <v>Al dia</v>
      </c>
      <c r="O1147" s="19"/>
      <c r="P1147" s="2"/>
      <c r="Q1147" s="2">
        <f t="shared" si="35"/>
        <v>0</v>
      </c>
    </row>
    <row r="1148" spans="3:17" x14ac:dyDescent="0.25">
      <c r="C1148" s="13" t="s">
        <v>2682</v>
      </c>
      <c r="D1148" s="13" t="s">
        <v>2683</v>
      </c>
      <c r="E1148" s="10">
        <v>1551583278</v>
      </c>
      <c r="F1148" t="s">
        <v>35</v>
      </c>
      <c r="G1148" t="s">
        <v>2684</v>
      </c>
      <c r="H1148" s="14">
        <v>2</v>
      </c>
      <c r="I1148" s="10" t="s">
        <v>28</v>
      </c>
      <c r="J1148" s="1">
        <v>45581</v>
      </c>
      <c r="K1148" s="1">
        <v>45612</v>
      </c>
      <c r="L1148" s="25">
        <f ca="1">CLIENTES[[#This Row],[Fecha Vencimiento]]-$J$6</f>
        <v>17</v>
      </c>
      <c r="N1148" s="1" t="str">
        <f t="shared" ca="1" si="36"/>
        <v>Al dia</v>
      </c>
      <c r="O1148" s="19">
        <v>45551</v>
      </c>
      <c r="P1148" s="2"/>
      <c r="Q1148" s="2">
        <f t="shared" si="35"/>
        <v>-45551</v>
      </c>
    </row>
    <row r="1149" spans="3:17" x14ac:dyDescent="0.25">
      <c r="C1149" s="13" t="s">
        <v>2685</v>
      </c>
      <c r="D1149" s="13" t="s">
        <v>2686</v>
      </c>
      <c r="E1149" s="10">
        <v>1165249384</v>
      </c>
      <c r="F1149" t="s">
        <v>35</v>
      </c>
      <c r="G1149" t="s">
        <v>2687</v>
      </c>
      <c r="H1149" s="14">
        <v>4</v>
      </c>
      <c r="I1149" s="10" t="s">
        <v>28</v>
      </c>
      <c r="J1149" s="1">
        <v>45587</v>
      </c>
      <c r="K1149" s="1">
        <v>45616</v>
      </c>
      <c r="L1149" s="25">
        <f ca="1">CLIENTES[[#This Row],[Fecha Vencimiento]]-$J$6</f>
        <v>21</v>
      </c>
      <c r="N1149" s="1" t="str">
        <f t="shared" ca="1" si="36"/>
        <v>Al dia</v>
      </c>
      <c r="O1149" s="19"/>
      <c r="P1149" s="2"/>
      <c r="Q1149" s="2">
        <f t="shared" si="35"/>
        <v>0</v>
      </c>
    </row>
    <row r="1150" spans="3:17" x14ac:dyDescent="0.25">
      <c r="C1150" s="13" t="s">
        <v>2688</v>
      </c>
      <c r="D1150" s="13" t="s">
        <v>2689</v>
      </c>
      <c r="F1150" t="s">
        <v>26</v>
      </c>
      <c r="G1150" t="s">
        <v>2690</v>
      </c>
      <c r="H1150" s="14">
        <v>1</v>
      </c>
      <c r="I1150" s="10" t="s">
        <v>28</v>
      </c>
      <c r="J1150" s="1">
        <v>45588</v>
      </c>
      <c r="K1150" s="1">
        <v>45619</v>
      </c>
      <c r="L1150" s="25">
        <f ca="1">CLIENTES[[#This Row],[Fecha Vencimiento]]-$J$6</f>
        <v>24</v>
      </c>
      <c r="N1150" s="1" t="str">
        <f t="shared" ca="1" si="36"/>
        <v>Al dia</v>
      </c>
      <c r="O1150" s="19">
        <v>45588</v>
      </c>
      <c r="P1150" s="2"/>
      <c r="Q1150" s="2">
        <f t="shared" si="35"/>
        <v>-45588</v>
      </c>
    </row>
    <row r="1151" spans="3:17" x14ac:dyDescent="0.25">
      <c r="C1151" s="13" t="s">
        <v>2691</v>
      </c>
      <c r="D1151" s="13" t="s">
        <v>2692</v>
      </c>
      <c r="E1151" s="10" t="s">
        <v>3106</v>
      </c>
      <c r="F1151" t="s">
        <v>35</v>
      </c>
      <c r="G1151" t="s">
        <v>2693</v>
      </c>
      <c r="H1151" s="14">
        <v>1</v>
      </c>
      <c r="I1151" s="10" t="s">
        <v>28</v>
      </c>
      <c r="J1151" s="1">
        <v>45569</v>
      </c>
      <c r="K1151" s="1">
        <v>45599</v>
      </c>
      <c r="L1151" s="25">
        <f ca="1">CLIENTES[[#This Row],[Fecha Vencimiento]]-$J$6</f>
        <v>4</v>
      </c>
      <c r="N1151" s="1" t="str">
        <f t="shared" ca="1" si="36"/>
        <v>Al dia</v>
      </c>
      <c r="O1151" s="19"/>
      <c r="P1151" s="2"/>
      <c r="Q1151" s="2">
        <f t="shared" si="35"/>
        <v>0</v>
      </c>
    </row>
    <row r="1152" spans="3:17" x14ac:dyDescent="0.25">
      <c r="C1152" s="13" t="s">
        <v>2691</v>
      </c>
      <c r="D1152" s="13" t="s">
        <v>2694</v>
      </c>
      <c r="E1152" s="10">
        <v>1138752708</v>
      </c>
      <c r="F1152" t="s">
        <v>35</v>
      </c>
      <c r="G1152" t="s">
        <v>2695</v>
      </c>
      <c r="H1152" s="14">
        <v>1</v>
      </c>
      <c r="I1152" s="10" t="s">
        <v>28</v>
      </c>
      <c r="J1152" s="1">
        <v>45579</v>
      </c>
      <c r="K1152" s="1">
        <v>45610</v>
      </c>
      <c r="L1152" s="25">
        <f ca="1">CLIENTES[[#This Row],[Fecha Vencimiento]]-$J$6</f>
        <v>15</v>
      </c>
      <c r="N1152" s="1" t="str">
        <f t="shared" ca="1" si="36"/>
        <v>Al dia</v>
      </c>
      <c r="O1152" s="19">
        <v>45579</v>
      </c>
      <c r="P1152" s="2"/>
      <c r="Q1152" s="2">
        <f t="shared" si="35"/>
        <v>-45579</v>
      </c>
    </row>
    <row r="1153" spans="3:17" x14ac:dyDescent="0.25">
      <c r="C1153" s="13" t="s">
        <v>2696</v>
      </c>
      <c r="D1153" s="13" t="s">
        <v>2697</v>
      </c>
      <c r="F1153" t="s">
        <v>35</v>
      </c>
      <c r="G1153" t="s">
        <v>2698</v>
      </c>
      <c r="H1153" s="14">
        <v>2</v>
      </c>
      <c r="I1153" s="10" t="s">
        <v>28</v>
      </c>
      <c r="J1153" s="1">
        <v>45569</v>
      </c>
      <c r="K1153" s="1">
        <v>45615</v>
      </c>
      <c r="L1153" s="25">
        <f ca="1">CLIENTES[[#This Row],[Fecha Vencimiento]]-$J$6</f>
        <v>20</v>
      </c>
      <c r="N1153" s="1" t="str">
        <f t="shared" ca="1" si="36"/>
        <v>Al dia</v>
      </c>
      <c r="O1153" s="19"/>
      <c r="P1153" s="2"/>
      <c r="Q1153" s="2">
        <f t="shared" si="35"/>
        <v>0</v>
      </c>
    </row>
    <row r="1154" spans="3:17" x14ac:dyDescent="0.25">
      <c r="C1154" s="13" t="s">
        <v>2699</v>
      </c>
      <c r="D1154" s="13" t="s">
        <v>2700</v>
      </c>
      <c r="E1154" s="10" t="s">
        <v>3110</v>
      </c>
      <c r="F1154" t="s">
        <v>35</v>
      </c>
      <c r="G1154" t="s">
        <v>2701</v>
      </c>
      <c r="I1154" s="10" t="s">
        <v>28</v>
      </c>
      <c r="J1154" s="1">
        <v>45516</v>
      </c>
      <c r="K1154" s="1">
        <v>45547</v>
      </c>
      <c r="L1154" s="25">
        <f ca="1">CLIENTES[[#This Row],[Fecha Vencimiento]]-$J$6</f>
        <v>-48</v>
      </c>
      <c r="N1154" s="1" t="str">
        <f t="shared" ca="1" si="36"/>
        <v>Vencido</v>
      </c>
      <c r="O1154" s="19"/>
      <c r="P1154" s="2"/>
      <c r="Q1154" s="2">
        <f t="shared" si="35"/>
        <v>0</v>
      </c>
    </row>
    <row r="1155" spans="3:17" x14ac:dyDescent="0.25">
      <c r="C1155" s="13" t="s">
        <v>2699</v>
      </c>
      <c r="D1155" s="13" t="s">
        <v>2702</v>
      </c>
      <c r="F1155" t="s">
        <v>35</v>
      </c>
      <c r="G1155" t="s">
        <v>2703</v>
      </c>
      <c r="I1155" s="10" t="s">
        <v>28</v>
      </c>
      <c r="J1155" s="1">
        <v>45496</v>
      </c>
      <c r="K1155" s="1">
        <v>45527</v>
      </c>
      <c r="L1155" s="25">
        <f ca="1">CLIENTES[[#This Row],[Fecha Vencimiento]]-$J$6</f>
        <v>-68</v>
      </c>
      <c r="N1155" s="1" t="str">
        <f t="shared" ca="1" si="36"/>
        <v>Vencido</v>
      </c>
      <c r="O1155" s="19"/>
      <c r="P1155" s="2"/>
      <c r="Q1155" s="2">
        <f t="shared" si="35"/>
        <v>0</v>
      </c>
    </row>
    <row r="1156" spans="3:17" x14ac:dyDescent="0.25">
      <c r="C1156" s="13" t="s">
        <v>2699</v>
      </c>
      <c r="D1156" s="13" t="s">
        <v>2704</v>
      </c>
      <c r="E1156" s="10">
        <v>1127471179</v>
      </c>
      <c r="F1156" t="s">
        <v>35</v>
      </c>
      <c r="G1156" t="s">
        <v>2705</v>
      </c>
      <c r="H1156" s="14">
        <v>2</v>
      </c>
      <c r="I1156" s="10" t="s">
        <v>28</v>
      </c>
      <c r="J1156" s="1">
        <v>45590</v>
      </c>
      <c r="K1156" s="1">
        <v>45616</v>
      </c>
      <c r="L1156" s="25">
        <f ca="1">CLIENTES[[#This Row],[Fecha Vencimiento]]-$J$6</f>
        <v>21</v>
      </c>
      <c r="N1156" s="1" t="str">
        <f t="shared" ca="1" si="36"/>
        <v>Al dia</v>
      </c>
      <c r="O1156" s="19">
        <v>45555</v>
      </c>
      <c r="P1156" s="2"/>
      <c r="Q1156" s="2">
        <f t="shared" si="35"/>
        <v>-45555</v>
      </c>
    </row>
    <row r="1157" spans="3:17" x14ac:dyDescent="0.25">
      <c r="C1157" s="13" t="s">
        <v>2706</v>
      </c>
      <c r="D1157" s="13" t="s">
        <v>2707</v>
      </c>
      <c r="E1157" s="10">
        <v>1135896648</v>
      </c>
      <c r="F1157" t="s">
        <v>35</v>
      </c>
      <c r="G1157" t="s">
        <v>2708</v>
      </c>
      <c r="H1157" s="14">
        <v>7</v>
      </c>
      <c r="I1157" s="10" t="s">
        <v>28</v>
      </c>
      <c r="J1157" s="1">
        <v>45539</v>
      </c>
      <c r="K1157" s="1">
        <v>45558</v>
      </c>
      <c r="L1157" s="25">
        <f ca="1">CLIENTES[[#This Row],[Fecha Vencimiento]]-$J$6</f>
        <v>-37</v>
      </c>
      <c r="N1157" s="1" t="str">
        <f t="shared" ca="1" si="36"/>
        <v>Vencido</v>
      </c>
      <c r="O1157" s="19"/>
      <c r="P1157" s="2"/>
      <c r="Q1157" s="2">
        <f t="shared" si="35"/>
        <v>0</v>
      </c>
    </row>
    <row r="1158" spans="3:17" x14ac:dyDescent="0.25">
      <c r="C1158" s="13" t="s">
        <v>2709</v>
      </c>
      <c r="D1158" s="13" t="s">
        <v>2710</v>
      </c>
      <c r="F1158" t="s">
        <v>35</v>
      </c>
      <c r="G1158" t="s">
        <v>2711</v>
      </c>
      <c r="H1158" s="14">
        <v>6</v>
      </c>
      <c r="I1158" s="10" t="s">
        <v>28</v>
      </c>
      <c r="J1158" s="1">
        <v>45570</v>
      </c>
      <c r="K1158" s="1">
        <v>45605</v>
      </c>
      <c r="L1158" s="25">
        <f ca="1">CLIENTES[[#This Row],[Fecha Vencimiento]]-$J$6</f>
        <v>10</v>
      </c>
      <c r="N1158" s="1" t="str">
        <f t="shared" ca="1" si="36"/>
        <v>Al dia</v>
      </c>
      <c r="O1158" s="19"/>
      <c r="P1158" s="2"/>
      <c r="Q1158" s="2">
        <f t="shared" si="35"/>
        <v>0</v>
      </c>
    </row>
    <row r="1159" spans="3:17" x14ac:dyDescent="0.25">
      <c r="C1159" s="13" t="s">
        <v>2709</v>
      </c>
      <c r="D1159" s="13" t="s">
        <v>2710</v>
      </c>
      <c r="F1159" t="s">
        <v>35</v>
      </c>
      <c r="G1159" t="s">
        <v>2712</v>
      </c>
      <c r="H1159" s="14">
        <v>6</v>
      </c>
      <c r="I1159" s="10" t="s">
        <v>28</v>
      </c>
      <c r="J1159" s="1">
        <v>45570</v>
      </c>
      <c r="K1159" s="1">
        <v>45606</v>
      </c>
      <c r="L1159" s="25">
        <f ca="1">CLIENTES[[#This Row],[Fecha Vencimiento]]-$J$6</f>
        <v>11</v>
      </c>
      <c r="N1159" s="1" t="str">
        <f t="shared" ca="1" si="36"/>
        <v>Al dia</v>
      </c>
      <c r="O1159" s="19"/>
      <c r="P1159" s="2"/>
      <c r="Q1159" s="2">
        <f t="shared" si="35"/>
        <v>0</v>
      </c>
    </row>
    <row r="1160" spans="3:17" x14ac:dyDescent="0.25">
      <c r="C1160" s="13" t="s">
        <v>2713</v>
      </c>
      <c r="D1160" s="13" t="s">
        <v>309</v>
      </c>
      <c r="E1160" s="10">
        <v>1133801892</v>
      </c>
      <c r="F1160" t="s">
        <v>35</v>
      </c>
      <c r="G1160" t="s">
        <v>2714</v>
      </c>
      <c r="H1160" s="14">
        <v>3</v>
      </c>
      <c r="I1160" s="10" t="s">
        <v>28</v>
      </c>
      <c r="J1160" s="1">
        <v>45590</v>
      </c>
      <c r="K1160" s="1">
        <v>45620</v>
      </c>
      <c r="L1160" s="25">
        <f ca="1">CLIENTES[[#This Row],[Fecha Vencimiento]]-$J$6</f>
        <v>25</v>
      </c>
      <c r="N1160" s="1" t="str">
        <f t="shared" ca="1" si="36"/>
        <v>Al dia</v>
      </c>
      <c r="O1160" s="19">
        <v>45528</v>
      </c>
      <c r="P1160" s="2"/>
      <c r="Q1160" s="2">
        <f t="shared" ref="Q1160:Q1223" si="37">P1160-O1160</f>
        <v>-45528</v>
      </c>
    </row>
    <row r="1161" spans="3:17" x14ac:dyDescent="0.25">
      <c r="C1161" s="13" t="s">
        <v>2715</v>
      </c>
      <c r="D1161" s="13" t="s">
        <v>2716</v>
      </c>
      <c r="E1161" s="10">
        <v>1128643088</v>
      </c>
      <c r="F1161" t="s">
        <v>35</v>
      </c>
      <c r="G1161" t="s">
        <v>2717</v>
      </c>
      <c r="H1161" s="14">
        <v>2</v>
      </c>
      <c r="I1161" s="10" t="s">
        <v>28</v>
      </c>
      <c r="J1161" s="1">
        <v>45569</v>
      </c>
      <c r="K1161" s="1">
        <v>45600</v>
      </c>
      <c r="L1161" s="25">
        <f ca="1">CLIENTES[[#This Row],[Fecha Vencimiento]]-$J$6</f>
        <v>5</v>
      </c>
      <c r="N1161" s="1" t="str">
        <f t="shared" ca="1" si="36"/>
        <v>Al dia</v>
      </c>
      <c r="O1161" s="19">
        <v>45539</v>
      </c>
      <c r="P1161" s="2"/>
      <c r="Q1161" s="2">
        <f t="shared" si="37"/>
        <v>-45539</v>
      </c>
    </row>
    <row r="1162" spans="3:17" x14ac:dyDescent="0.25">
      <c r="C1162" s="13" t="s">
        <v>2715</v>
      </c>
      <c r="D1162" s="13" t="s">
        <v>2718</v>
      </c>
      <c r="E1162" s="10">
        <v>1161560480</v>
      </c>
      <c r="F1162" t="s">
        <v>35</v>
      </c>
      <c r="G1162" t="s">
        <v>2719</v>
      </c>
      <c r="H1162" s="14">
        <v>2</v>
      </c>
      <c r="I1162" s="10" t="s">
        <v>28</v>
      </c>
      <c r="J1162" s="1">
        <v>45586</v>
      </c>
      <c r="K1162" s="1">
        <v>45617</v>
      </c>
      <c r="L1162" s="25">
        <f ca="1">CLIENTES[[#This Row],[Fecha Vencimiento]]-$J$6</f>
        <v>22</v>
      </c>
      <c r="N1162" s="1" t="str">
        <f t="shared" ca="1" si="36"/>
        <v>Al dia</v>
      </c>
      <c r="O1162" s="19"/>
      <c r="P1162" s="2"/>
      <c r="Q1162" s="2">
        <f t="shared" si="37"/>
        <v>0</v>
      </c>
    </row>
    <row r="1163" spans="3:17" x14ac:dyDescent="0.25">
      <c r="C1163" s="13" t="s">
        <v>2715</v>
      </c>
      <c r="D1163" s="13" t="s">
        <v>2720</v>
      </c>
      <c r="E1163" s="10" t="s">
        <v>3110</v>
      </c>
      <c r="F1163" t="s">
        <v>35</v>
      </c>
      <c r="G1163" t="s">
        <v>2721</v>
      </c>
      <c r="H1163" s="14">
        <v>4</v>
      </c>
      <c r="I1163" s="10" t="s">
        <v>28</v>
      </c>
      <c r="J1163" s="1">
        <v>45587</v>
      </c>
      <c r="K1163" s="1">
        <v>45618</v>
      </c>
      <c r="L1163" s="25">
        <f ca="1">CLIENTES[[#This Row],[Fecha Vencimiento]]-$J$6</f>
        <v>23</v>
      </c>
      <c r="N1163" s="1" t="str">
        <f t="shared" ca="1" si="36"/>
        <v>Al dia</v>
      </c>
      <c r="O1163" s="19"/>
      <c r="P1163" s="2"/>
      <c r="Q1163" s="2">
        <f t="shared" si="37"/>
        <v>0</v>
      </c>
    </row>
    <row r="1164" spans="3:17" x14ac:dyDescent="0.25">
      <c r="C1164" s="13" t="s">
        <v>2715</v>
      </c>
      <c r="D1164" s="13" t="s">
        <v>2722</v>
      </c>
      <c r="E1164" s="10">
        <v>1160444426</v>
      </c>
      <c r="F1164" t="s">
        <v>35</v>
      </c>
      <c r="G1164" t="s">
        <v>2723</v>
      </c>
      <c r="I1164" s="10" t="s">
        <v>28</v>
      </c>
      <c r="J1164" s="1">
        <v>45510</v>
      </c>
      <c r="K1164" s="1">
        <v>45536</v>
      </c>
      <c r="L1164" s="25">
        <f ca="1">CLIENTES[[#This Row],[Fecha Vencimiento]]-$J$6</f>
        <v>-59</v>
      </c>
      <c r="N1164" s="1" t="str">
        <f t="shared" ca="1" si="36"/>
        <v>Vencido</v>
      </c>
      <c r="O1164" s="19"/>
      <c r="P1164" s="2"/>
      <c r="Q1164" s="2">
        <f t="shared" si="37"/>
        <v>0</v>
      </c>
    </row>
    <row r="1165" spans="3:17" x14ac:dyDescent="0.25">
      <c r="C1165" s="13" t="s">
        <v>2715</v>
      </c>
      <c r="D1165" s="13" t="s">
        <v>51</v>
      </c>
      <c r="E1165" s="10">
        <v>1133454213</v>
      </c>
      <c r="F1165" t="s">
        <v>35</v>
      </c>
      <c r="G1165" t="s">
        <v>2724</v>
      </c>
      <c r="H1165" s="14">
        <v>4</v>
      </c>
      <c r="I1165" s="10" t="s">
        <v>28</v>
      </c>
      <c r="J1165" s="1">
        <v>45580</v>
      </c>
      <c r="K1165" s="1">
        <v>45614</v>
      </c>
      <c r="L1165" s="25">
        <f ca="1">CLIENTES[[#This Row],[Fecha Vencimiento]]-$J$6</f>
        <v>19</v>
      </c>
      <c r="N1165" s="1" t="str">
        <f t="shared" ca="1" si="36"/>
        <v>Al dia</v>
      </c>
      <c r="O1165" s="19"/>
      <c r="P1165" s="2"/>
      <c r="Q1165" s="2">
        <f t="shared" si="37"/>
        <v>0</v>
      </c>
    </row>
    <row r="1166" spans="3:17" x14ac:dyDescent="0.25">
      <c r="C1166" s="13" t="s">
        <v>2715</v>
      </c>
      <c r="D1166" s="13" t="s">
        <v>2725</v>
      </c>
      <c r="E1166" s="10" t="s">
        <v>2931</v>
      </c>
      <c r="F1166" t="s">
        <v>35</v>
      </c>
      <c r="G1166" t="s">
        <v>2726</v>
      </c>
      <c r="H1166" s="14">
        <v>1</v>
      </c>
      <c r="I1166" s="10" t="s">
        <v>28</v>
      </c>
      <c r="J1166" s="1">
        <v>45587</v>
      </c>
      <c r="K1166" s="1">
        <v>45616</v>
      </c>
      <c r="L1166" s="25">
        <f ca="1">CLIENTES[[#This Row],[Fecha Vencimiento]]-$J$6</f>
        <v>21</v>
      </c>
      <c r="N1166" s="1" t="str">
        <f t="shared" ca="1" si="36"/>
        <v>Al dia</v>
      </c>
      <c r="O1166" s="19"/>
      <c r="P1166" s="2"/>
      <c r="Q1166" s="2">
        <f t="shared" si="37"/>
        <v>0</v>
      </c>
    </row>
    <row r="1167" spans="3:17" x14ac:dyDescent="0.25">
      <c r="C1167" s="13" t="s">
        <v>2715</v>
      </c>
      <c r="D1167" s="13" t="s">
        <v>2727</v>
      </c>
      <c r="E1167" s="10">
        <v>1132066440</v>
      </c>
      <c r="F1167" t="s">
        <v>35</v>
      </c>
      <c r="G1167" t="s">
        <v>2728</v>
      </c>
      <c r="H1167" s="14">
        <v>2</v>
      </c>
      <c r="I1167" s="10" t="s">
        <v>28</v>
      </c>
      <c r="J1167" s="1">
        <v>45548</v>
      </c>
      <c r="K1167" s="1">
        <v>45577</v>
      </c>
      <c r="L1167" s="25">
        <f ca="1">CLIENTES[[#This Row],[Fecha Vencimiento]]-$J$6</f>
        <v>-18</v>
      </c>
      <c r="N1167" s="1" t="str">
        <f t="shared" ca="1" si="36"/>
        <v>Vencido</v>
      </c>
      <c r="O1167" s="19"/>
      <c r="P1167" s="2"/>
      <c r="Q1167" s="2">
        <f t="shared" si="37"/>
        <v>0</v>
      </c>
    </row>
    <row r="1168" spans="3:17" x14ac:dyDescent="0.25">
      <c r="C1168" s="13" t="s">
        <v>2715</v>
      </c>
      <c r="D1168" s="13" t="s">
        <v>2729</v>
      </c>
      <c r="E1168" s="10">
        <v>116484008</v>
      </c>
      <c r="F1168" t="s">
        <v>35</v>
      </c>
      <c r="G1168" t="s">
        <v>2730</v>
      </c>
      <c r="H1168" s="14">
        <v>2</v>
      </c>
      <c r="I1168" s="10" t="s">
        <v>28</v>
      </c>
      <c r="J1168" s="1">
        <v>45574</v>
      </c>
      <c r="K1168" s="1">
        <v>45603</v>
      </c>
      <c r="L1168" s="25">
        <f ca="1">CLIENTES[[#This Row],[Fecha Vencimiento]]-$J$6</f>
        <v>8</v>
      </c>
      <c r="N1168" s="1" t="str">
        <f t="shared" ca="1" si="36"/>
        <v>Al dia</v>
      </c>
      <c r="O1168" s="19"/>
      <c r="P1168" s="2"/>
      <c r="Q1168" s="2">
        <f t="shared" si="37"/>
        <v>0</v>
      </c>
    </row>
    <row r="1169" spans="3:17" x14ac:dyDescent="0.25">
      <c r="C1169" s="13" t="s">
        <v>2715</v>
      </c>
      <c r="D1169" s="13" t="s">
        <v>2731</v>
      </c>
      <c r="E1169" s="10">
        <v>1126938313</v>
      </c>
      <c r="F1169" t="s">
        <v>35</v>
      </c>
      <c r="G1169" t="s">
        <v>2732</v>
      </c>
      <c r="H1169" s="14">
        <v>2</v>
      </c>
      <c r="I1169" s="10" t="s">
        <v>28</v>
      </c>
      <c r="J1169" s="1">
        <v>45579</v>
      </c>
      <c r="K1169" s="1">
        <v>45604</v>
      </c>
      <c r="L1169" s="25">
        <f ca="1">CLIENTES[[#This Row],[Fecha Vencimiento]]-$J$6</f>
        <v>9</v>
      </c>
      <c r="N1169" s="1" t="str">
        <f t="shared" ca="1" si="36"/>
        <v>Al dia</v>
      </c>
      <c r="O1169" s="19"/>
      <c r="P1169" s="2"/>
      <c r="Q1169" s="2">
        <f t="shared" si="37"/>
        <v>0</v>
      </c>
    </row>
    <row r="1170" spans="3:17" x14ac:dyDescent="0.25">
      <c r="C1170" s="13" t="s">
        <v>2733</v>
      </c>
      <c r="D1170" s="13" t="s">
        <v>2734</v>
      </c>
      <c r="E1170" s="10" t="s">
        <v>3110</v>
      </c>
      <c r="F1170" t="s">
        <v>35</v>
      </c>
      <c r="G1170" t="s">
        <v>2735</v>
      </c>
      <c r="H1170" s="14">
        <v>2</v>
      </c>
      <c r="I1170" s="10" t="s">
        <v>28</v>
      </c>
      <c r="J1170" s="1">
        <v>45575</v>
      </c>
      <c r="K1170" s="1">
        <v>45605</v>
      </c>
      <c r="L1170" s="25">
        <f ca="1">CLIENTES[[#This Row],[Fecha Vencimiento]]-$J$6</f>
        <v>10</v>
      </c>
      <c r="N1170" s="1" t="str">
        <f t="shared" ca="1" si="36"/>
        <v>Al dia</v>
      </c>
      <c r="O1170" s="19"/>
      <c r="P1170" s="2"/>
      <c r="Q1170" s="2">
        <f t="shared" si="37"/>
        <v>0</v>
      </c>
    </row>
    <row r="1171" spans="3:17" x14ac:dyDescent="0.25">
      <c r="C1171" s="13" t="s">
        <v>2736</v>
      </c>
      <c r="D1171" s="13" t="s">
        <v>1854</v>
      </c>
      <c r="E1171" s="10">
        <v>1171286159</v>
      </c>
      <c r="F1171" t="s">
        <v>35</v>
      </c>
      <c r="G1171" t="s">
        <v>2737</v>
      </c>
      <c r="H1171" s="14">
        <v>4</v>
      </c>
      <c r="I1171" s="10" t="s">
        <v>28</v>
      </c>
      <c r="J1171" s="1">
        <v>45586</v>
      </c>
      <c r="K1171" s="1">
        <v>45618</v>
      </c>
      <c r="L1171" s="25">
        <f ca="1">CLIENTES[[#This Row],[Fecha Vencimiento]]-$J$6</f>
        <v>23</v>
      </c>
      <c r="N1171" s="1" t="str">
        <f t="shared" ca="1" si="36"/>
        <v>Al dia</v>
      </c>
      <c r="O1171" s="19"/>
      <c r="P1171" s="2"/>
      <c r="Q1171" s="2">
        <f t="shared" si="37"/>
        <v>0</v>
      </c>
    </row>
    <row r="1172" spans="3:17" x14ac:dyDescent="0.25">
      <c r="C1172" s="13" t="s">
        <v>2738</v>
      </c>
      <c r="D1172" s="13" t="s">
        <v>2739</v>
      </c>
      <c r="E1172" s="10">
        <v>1165598404</v>
      </c>
      <c r="F1172" t="s">
        <v>35</v>
      </c>
      <c r="G1172" t="s">
        <v>2740</v>
      </c>
      <c r="H1172" s="14">
        <v>2</v>
      </c>
      <c r="I1172" s="10" t="s">
        <v>28</v>
      </c>
      <c r="J1172" s="1">
        <v>45579</v>
      </c>
      <c r="K1172" s="1">
        <v>45602</v>
      </c>
      <c r="L1172" s="25">
        <f ca="1">CLIENTES[[#This Row],[Fecha Vencimiento]]-$J$6</f>
        <v>7</v>
      </c>
      <c r="N1172" s="1" t="str">
        <f t="shared" ca="1" si="36"/>
        <v>Al dia</v>
      </c>
      <c r="O1172" s="19">
        <v>45541</v>
      </c>
      <c r="P1172" s="2"/>
      <c r="Q1172" s="2">
        <f t="shared" si="37"/>
        <v>-45541</v>
      </c>
    </row>
    <row r="1173" spans="3:17" x14ac:dyDescent="0.25">
      <c r="C1173" s="13" t="s">
        <v>2741</v>
      </c>
      <c r="D1173" s="13" t="s">
        <v>2742</v>
      </c>
      <c r="E1173" s="10" t="s">
        <v>2931</v>
      </c>
      <c r="F1173" t="s">
        <v>35</v>
      </c>
      <c r="G1173" t="s">
        <v>2743</v>
      </c>
      <c r="H1173" s="14">
        <v>4</v>
      </c>
      <c r="I1173" s="10" t="s">
        <v>28</v>
      </c>
      <c r="J1173" s="1">
        <v>45558</v>
      </c>
      <c r="K1173" s="1">
        <v>45575</v>
      </c>
      <c r="L1173" s="25">
        <f ca="1">CLIENTES[[#This Row],[Fecha Vencimiento]]-$J$6</f>
        <v>-20</v>
      </c>
      <c r="N1173" s="1" t="str">
        <f t="shared" ca="1" si="36"/>
        <v>Vencido</v>
      </c>
      <c r="O1173" s="19"/>
      <c r="P1173" s="2"/>
      <c r="Q1173" s="2">
        <f t="shared" si="37"/>
        <v>0</v>
      </c>
    </row>
    <row r="1174" spans="3:17" x14ac:dyDescent="0.25">
      <c r="C1174" s="13" t="s">
        <v>2744</v>
      </c>
      <c r="D1174" s="13" t="s">
        <v>2745</v>
      </c>
      <c r="E1174" s="10" t="s">
        <v>2931</v>
      </c>
      <c r="F1174" t="s">
        <v>35</v>
      </c>
      <c r="G1174" t="s">
        <v>2746</v>
      </c>
      <c r="H1174" s="14">
        <v>4</v>
      </c>
      <c r="I1174" s="10" t="s">
        <v>28</v>
      </c>
      <c r="J1174" s="1">
        <v>45498</v>
      </c>
      <c r="K1174" s="1">
        <v>45592</v>
      </c>
      <c r="L1174" s="25">
        <f ca="1">CLIENTES[[#This Row],[Fecha Vencimiento]]-$J$6</f>
        <v>-3</v>
      </c>
      <c r="N1174" s="1" t="str">
        <f t="shared" ca="1" si="36"/>
        <v>Vencido</v>
      </c>
      <c r="O1174" s="19"/>
      <c r="P1174" s="2"/>
      <c r="Q1174" s="2">
        <f t="shared" si="37"/>
        <v>0</v>
      </c>
    </row>
    <row r="1175" spans="3:17" x14ac:dyDescent="0.25">
      <c r="C1175" s="13" t="s">
        <v>2747</v>
      </c>
      <c r="D1175" s="13" t="s">
        <v>2748</v>
      </c>
      <c r="F1175" t="s">
        <v>35</v>
      </c>
      <c r="G1175" t="s">
        <v>2749</v>
      </c>
      <c r="I1175" s="10" t="s">
        <v>28</v>
      </c>
      <c r="J1175" s="1">
        <v>45467</v>
      </c>
      <c r="K1175" s="1">
        <v>45497</v>
      </c>
      <c r="L1175" s="25">
        <f ca="1">CLIENTES[[#This Row],[Fecha Vencimiento]]-$J$6</f>
        <v>-98</v>
      </c>
      <c r="N1175" s="1" t="str">
        <f t="shared" ca="1" si="36"/>
        <v>Vencido</v>
      </c>
      <c r="O1175" s="19"/>
      <c r="P1175" s="2"/>
      <c r="Q1175" s="2">
        <f t="shared" si="37"/>
        <v>0</v>
      </c>
    </row>
    <row r="1176" spans="3:17" x14ac:dyDescent="0.25">
      <c r="C1176" s="13" t="s">
        <v>2750</v>
      </c>
      <c r="D1176" s="13" t="s">
        <v>2751</v>
      </c>
      <c r="E1176" s="10">
        <v>1134330672</v>
      </c>
      <c r="F1176" t="s">
        <v>35</v>
      </c>
      <c r="G1176" t="s">
        <v>2752</v>
      </c>
      <c r="H1176" s="14">
        <v>2</v>
      </c>
      <c r="I1176" s="10" t="s">
        <v>28</v>
      </c>
      <c r="J1176" s="1">
        <v>45555</v>
      </c>
      <c r="K1176" s="1">
        <v>45591</v>
      </c>
      <c r="L1176" s="25">
        <f ca="1">CLIENTES[[#This Row],[Fecha Vencimiento]]-$J$6</f>
        <v>-4</v>
      </c>
      <c r="N1176" s="1" t="str">
        <f t="shared" ca="1" si="36"/>
        <v>Vencido</v>
      </c>
      <c r="O1176" s="19">
        <v>45527</v>
      </c>
      <c r="P1176" s="2"/>
      <c r="Q1176" s="2">
        <f t="shared" si="37"/>
        <v>-45527</v>
      </c>
    </row>
    <row r="1177" spans="3:17" x14ac:dyDescent="0.25">
      <c r="C1177" s="13" t="s">
        <v>2753</v>
      </c>
      <c r="D1177" s="13" t="s">
        <v>2754</v>
      </c>
      <c r="E1177" s="10">
        <v>1130822317</v>
      </c>
      <c r="F1177" t="s">
        <v>35</v>
      </c>
      <c r="G1177" t="s">
        <v>2755</v>
      </c>
      <c r="H1177" s="14">
        <v>2</v>
      </c>
      <c r="I1177" s="10" t="s">
        <v>28</v>
      </c>
      <c r="J1177" s="1">
        <v>45573</v>
      </c>
      <c r="K1177" s="1">
        <v>45602</v>
      </c>
      <c r="L1177" s="25">
        <f ca="1">CLIENTES[[#This Row],[Fecha Vencimiento]]-$J$6</f>
        <v>7</v>
      </c>
      <c r="N1177" s="1" t="str">
        <f t="shared" ca="1" si="36"/>
        <v>Al dia</v>
      </c>
      <c r="O1177" s="19"/>
      <c r="P1177" s="2"/>
      <c r="Q1177" s="2">
        <f t="shared" si="37"/>
        <v>0</v>
      </c>
    </row>
    <row r="1178" spans="3:17" x14ac:dyDescent="0.25">
      <c r="C1178" s="13" t="s">
        <v>2756</v>
      </c>
      <c r="D1178" s="13" t="s">
        <v>2757</v>
      </c>
      <c r="E1178" s="10">
        <v>1125033679</v>
      </c>
      <c r="F1178" t="s">
        <v>35</v>
      </c>
      <c r="G1178" t="s">
        <v>2758</v>
      </c>
      <c r="H1178" s="14">
        <v>2</v>
      </c>
      <c r="I1178" s="10" t="s">
        <v>28</v>
      </c>
      <c r="J1178" s="1">
        <v>45588</v>
      </c>
      <c r="K1178" s="1">
        <v>45619</v>
      </c>
      <c r="L1178" s="25">
        <f ca="1">CLIENTES[[#This Row],[Fecha Vencimiento]]-$J$6</f>
        <v>24</v>
      </c>
      <c r="N1178" s="1" t="str">
        <f t="shared" ca="1" si="36"/>
        <v>Al dia</v>
      </c>
      <c r="O1178" s="19">
        <v>45558</v>
      </c>
      <c r="P1178" s="2"/>
      <c r="Q1178" s="2">
        <f t="shared" si="37"/>
        <v>-45558</v>
      </c>
    </row>
    <row r="1179" spans="3:17" x14ac:dyDescent="0.25">
      <c r="C1179" s="13" t="s">
        <v>2759</v>
      </c>
      <c r="D1179" s="13" t="s">
        <v>2760</v>
      </c>
      <c r="E1179" s="10">
        <v>1153328421</v>
      </c>
      <c r="F1179" t="s">
        <v>35</v>
      </c>
      <c r="G1179" t="s">
        <v>2761</v>
      </c>
      <c r="H1179" s="14">
        <v>2</v>
      </c>
      <c r="I1179" s="10" t="s">
        <v>28</v>
      </c>
      <c r="J1179" s="1">
        <v>45576</v>
      </c>
      <c r="K1179" s="1">
        <v>45608</v>
      </c>
      <c r="L1179" s="25">
        <f ca="1">CLIENTES[[#This Row],[Fecha Vencimiento]]-$J$6</f>
        <v>13</v>
      </c>
      <c r="N1179" s="1" t="str">
        <f t="shared" ca="1" si="36"/>
        <v>Al dia</v>
      </c>
      <c r="O1179" s="19">
        <v>45547</v>
      </c>
      <c r="P1179" s="2"/>
      <c r="Q1179" s="2">
        <f t="shared" si="37"/>
        <v>-45547</v>
      </c>
    </row>
    <row r="1180" spans="3:17" x14ac:dyDescent="0.25">
      <c r="C1180" s="13" t="s">
        <v>2762</v>
      </c>
      <c r="D1180" s="13" t="s">
        <v>2763</v>
      </c>
      <c r="F1180" t="s">
        <v>35</v>
      </c>
      <c r="G1180" t="s">
        <v>2764</v>
      </c>
      <c r="I1180" s="10" t="s">
        <v>28</v>
      </c>
      <c r="J1180" s="1">
        <v>45476</v>
      </c>
      <c r="K1180" s="1">
        <v>45527</v>
      </c>
      <c r="L1180" s="25">
        <f ca="1">CLIENTES[[#This Row],[Fecha Vencimiento]]-$J$6</f>
        <v>-68</v>
      </c>
      <c r="N1180" s="1" t="str">
        <f t="shared" ca="1" si="36"/>
        <v>Vencido</v>
      </c>
      <c r="O1180" s="19"/>
      <c r="P1180" s="2"/>
      <c r="Q1180" s="2">
        <f t="shared" si="37"/>
        <v>0</v>
      </c>
    </row>
    <row r="1181" spans="3:17" x14ac:dyDescent="0.25">
      <c r="C1181" s="13" t="s">
        <v>2765</v>
      </c>
      <c r="D1181" s="13" t="s">
        <v>2766</v>
      </c>
      <c r="E1181" s="10">
        <v>1137966182</v>
      </c>
      <c r="F1181" t="s">
        <v>35</v>
      </c>
      <c r="G1181" t="s">
        <v>2767</v>
      </c>
      <c r="H1181" s="14">
        <v>3</v>
      </c>
      <c r="I1181" s="10" t="s">
        <v>28</v>
      </c>
      <c r="J1181" s="1">
        <v>45590</v>
      </c>
      <c r="K1181" s="1">
        <v>45611</v>
      </c>
      <c r="L1181" s="25">
        <f ca="1">CLIENTES[[#This Row],[Fecha Vencimiento]]-$J$6</f>
        <v>16</v>
      </c>
      <c r="N1181" s="1" t="str">
        <f t="shared" ca="1" si="36"/>
        <v>Al dia</v>
      </c>
      <c r="O1181" s="19"/>
      <c r="P1181" s="2"/>
      <c r="Q1181" s="2">
        <f t="shared" si="37"/>
        <v>0</v>
      </c>
    </row>
    <row r="1182" spans="3:17" x14ac:dyDescent="0.25">
      <c r="C1182" s="13" t="s">
        <v>2765</v>
      </c>
      <c r="D1182" s="13" t="s">
        <v>2766</v>
      </c>
      <c r="E1182" s="10">
        <v>1137966182</v>
      </c>
      <c r="F1182" t="s">
        <v>35</v>
      </c>
      <c r="G1182" t="s">
        <v>2768</v>
      </c>
      <c r="H1182" s="14">
        <v>1</v>
      </c>
      <c r="I1182" s="10" t="s">
        <v>28</v>
      </c>
      <c r="J1182" s="1">
        <v>45558</v>
      </c>
      <c r="K1182" s="1">
        <v>45588</v>
      </c>
      <c r="L1182" s="25">
        <f ca="1">CLIENTES[[#This Row],[Fecha Vencimiento]]-$J$6</f>
        <v>-7</v>
      </c>
      <c r="N1182" s="1" t="str">
        <f t="shared" ca="1" si="36"/>
        <v>Vencido</v>
      </c>
      <c r="O1182" s="19">
        <v>45558</v>
      </c>
      <c r="P1182" s="2"/>
      <c r="Q1182" s="2">
        <f t="shared" si="37"/>
        <v>-45558</v>
      </c>
    </row>
    <row r="1183" spans="3:17" x14ac:dyDescent="0.25">
      <c r="C1183" s="13" t="s">
        <v>2765</v>
      </c>
      <c r="D1183" s="13" t="s">
        <v>2766</v>
      </c>
      <c r="F1183" t="s">
        <v>35</v>
      </c>
      <c r="G1183" t="s">
        <v>2769</v>
      </c>
      <c r="I1183" s="10" t="s">
        <v>28</v>
      </c>
      <c r="J1183" s="1">
        <v>45419</v>
      </c>
      <c r="K1183" s="1">
        <v>45455</v>
      </c>
      <c r="L1183" s="25">
        <f ca="1">CLIENTES[[#This Row],[Fecha Vencimiento]]-$J$6</f>
        <v>-140</v>
      </c>
      <c r="N1183" s="1" t="str">
        <f t="shared" ca="1" si="36"/>
        <v>Vencido</v>
      </c>
      <c r="O1183" s="19"/>
      <c r="P1183" s="2"/>
      <c r="Q1183" s="2">
        <f t="shared" si="37"/>
        <v>0</v>
      </c>
    </row>
    <row r="1184" spans="3:17" x14ac:dyDescent="0.25">
      <c r="C1184" s="13" t="s">
        <v>2765</v>
      </c>
      <c r="D1184" s="13" t="s">
        <v>2770</v>
      </c>
      <c r="F1184" t="s">
        <v>35</v>
      </c>
      <c r="G1184" t="s">
        <v>2771</v>
      </c>
      <c r="H1184" s="14">
        <v>1</v>
      </c>
      <c r="I1184" s="10" t="s">
        <v>28</v>
      </c>
      <c r="J1184" s="1">
        <v>45526</v>
      </c>
      <c r="K1184" s="1">
        <v>45557</v>
      </c>
      <c r="L1184" s="25">
        <f ca="1">CLIENTES[[#This Row],[Fecha Vencimiento]]-$J$6</f>
        <v>-38</v>
      </c>
      <c r="N1184" s="1" t="str">
        <f t="shared" ca="1" si="36"/>
        <v>Vencido</v>
      </c>
      <c r="O1184" s="19">
        <v>45526</v>
      </c>
      <c r="P1184" s="2"/>
      <c r="Q1184" s="2">
        <f t="shared" si="37"/>
        <v>-45526</v>
      </c>
    </row>
    <row r="1185" spans="3:17" x14ac:dyDescent="0.25">
      <c r="C1185" s="13" t="s">
        <v>2765</v>
      </c>
      <c r="D1185" s="13" t="s">
        <v>2770</v>
      </c>
      <c r="E1185" s="10">
        <v>1161084706</v>
      </c>
      <c r="F1185" t="s">
        <v>35</v>
      </c>
      <c r="G1185" t="s">
        <v>2769</v>
      </c>
      <c r="H1185" s="14">
        <v>1</v>
      </c>
      <c r="I1185" s="10" t="s">
        <v>28</v>
      </c>
      <c r="J1185" s="1">
        <v>45572</v>
      </c>
      <c r="K1185" s="1">
        <v>45603</v>
      </c>
      <c r="L1185" s="25">
        <f ca="1">CLIENTES[[#This Row],[Fecha Vencimiento]]-$J$6</f>
        <v>8</v>
      </c>
      <c r="N1185" s="1" t="str">
        <f t="shared" ca="1" si="36"/>
        <v>Al dia</v>
      </c>
      <c r="O1185" s="19">
        <v>45572</v>
      </c>
      <c r="P1185" s="2"/>
      <c r="Q1185" s="2">
        <f t="shared" si="37"/>
        <v>-45572</v>
      </c>
    </row>
    <row r="1186" spans="3:17" x14ac:dyDescent="0.25">
      <c r="C1186" s="13" t="s">
        <v>2765</v>
      </c>
      <c r="D1186" s="13" t="s">
        <v>2772</v>
      </c>
      <c r="E1186" s="10">
        <v>1158803926</v>
      </c>
      <c r="F1186" t="s">
        <v>35</v>
      </c>
      <c r="G1186" t="s">
        <v>2773</v>
      </c>
      <c r="H1186" s="14">
        <v>4</v>
      </c>
      <c r="I1186" s="10" t="s">
        <v>28</v>
      </c>
      <c r="J1186" s="1">
        <v>45568</v>
      </c>
      <c r="K1186" s="1">
        <v>45599</v>
      </c>
      <c r="L1186" s="25">
        <f ca="1">CLIENTES[[#This Row],[Fecha Vencimiento]]-$J$6</f>
        <v>4</v>
      </c>
      <c r="N1186" s="1" t="str">
        <f t="shared" ca="1" si="36"/>
        <v>Al dia</v>
      </c>
      <c r="O1186" s="19"/>
      <c r="P1186" s="2"/>
      <c r="Q1186" s="2">
        <f t="shared" si="37"/>
        <v>0</v>
      </c>
    </row>
    <row r="1187" spans="3:17" x14ac:dyDescent="0.25">
      <c r="C1187" s="13" t="s">
        <v>2774</v>
      </c>
      <c r="D1187" s="13" t="s">
        <v>2775</v>
      </c>
      <c r="E1187" s="10">
        <v>1167026187</v>
      </c>
      <c r="F1187" t="s">
        <v>159</v>
      </c>
      <c r="G1187" t="s">
        <v>2776</v>
      </c>
      <c r="H1187" s="14">
        <v>4</v>
      </c>
      <c r="I1187" s="10" t="s">
        <v>183</v>
      </c>
      <c r="J1187" s="1">
        <v>45570</v>
      </c>
      <c r="K1187" s="1">
        <v>45601</v>
      </c>
      <c r="L1187" s="25">
        <f ca="1">CLIENTES[[#This Row],[Fecha Vencimiento]]-$J$6</f>
        <v>6</v>
      </c>
      <c r="N1187" s="1" t="str">
        <f t="shared" ca="1" si="36"/>
        <v>Al dia</v>
      </c>
      <c r="O1187" s="19"/>
      <c r="P1187" s="2"/>
      <c r="Q1187" s="2">
        <f t="shared" si="37"/>
        <v>0</v>
      </c>
    </row>
    <row r="1188" spans="3:17" x14ac:dyDescent="0.25">
      <c r="C1188" t="s">
        <v>2777</v>
      </c>
      <c r="D1188" t="s">
        <v>184</v>
      </c>
      <c r="E1188" s="10">
        <v>1138033108</v>
      </c>
      <c r="F1188" t="s">
        <v>35</v>
      </c>
      <c r="G1188" t="s">
        <v>2778</v>
      </c>
      <c r="H1188" s="14">
        <v>2</v>
      </c>
      <c r="I1188" s="10" t="s">
        <v>28</v>
      </c>
      <c r="J1188" s="1">
        <v>45580</v>
      </c>
      <c r="K1188" s="1">
        <v>45614</v>
      </c>
      <c r="L1188" s="25">
        <f ca="1">CLIENTES[[#This Row],[Fecha Vencimiento]]-$J$6</f>
        <v>19</v>
      </c>
      <c r="N1188" s="1" t="str">
        <f t="shared" ca="1" si="36"/>
        <v>Al dia</v>
      </c>
      <c r="O1188" s="19">
        <v>45553</v>
      </c>
      <c r="P1188" s="2"/>
      <c r="Q1188" s="2">
        <f t="shared" si="37"/>
        <v>-45553</v>
      </c>
    </row>
    <row r="1189" spans="3:17" x14ac:dyDescent="0.25">
      <c r="C1189" s="13" t="s">
        <v>2779</v>
      </c>
      <c r="D1189" s="13" t="s">
        <v>44</v>
      </c>
      <c r="F1189" t="s">
        <v>35</v>
      </c>
      <c r="G1189" t="s">
        <v>2780</v>
      </c>
      <c r="I1189" s="10" t="s">
        <v>28</v>
      </c>
      <c r="J1189" s="1">
        <v>45457</v>
      </c>
      <c r="K1189" s="1">
        <v>45475</v>
      </c>
      <c r="L1189" s="25">
        <f ca="1">CLIENTES[[#This Row],[Fecha Vencimiento]]-$J$6</f>
        <v>-120</v>
      </c>
      <c r="N1189" s="1" t="str">
        <f t="shared" ca="1" si="36"/>
        <v>Vencido</v>
      </c>
      <c r="O1189" s="19"/>
      <c r="P1189" s="2"/>
      <c r="Q1189" s="2">
        <f t="shared" si="37"/>
        <v>0</v>
      </c>
    </row>
    <row r="1190" spans="3:17" x14ac:dyDescent="0.25">
      <c r="C1190" s="13" t="s">
        <v>2781</v>
      </c>
      <c r="D1190" s="13" t="s">
        <v>2782</v>
      </c>
      <c r="E1190" s="10" t="s">
        <v>3110</v>
      </c>
      <c r="F1190" t="s">
        <v>35</v>
      </c>
      <c r="G1190" t="s">
        <v>2783</v>
      </c>
      <c r="I1190" s="10" t="s">
        <v>28</v>
      </c>
      <c r="J1190" s="1">
        <v>45517</v>
      </c>
      <c r="K1190" s="1">
        <v>45544</v>
      </c>
      <c r="L1190" s="25">
        <f ca="1">CLIENTES[[#This Row],[Fecha Vencimiento]]-$J$6</f>
        <v>-51</v>
      </c>
      <c r="N1190" s="1" t="str">
        <f t="shared" ca="1" si="36"/>
        <v>Vencido</v>
      </c>
      <c r="O1190" s="19"/>
      <c r="P1190" s="2"/>
      <c r="Q1190" s="2">
        <f t="shared" si="37"/>
        <v>0</v>
      </c>
    </row>
    <row r="1191" spans="3:17" x14ac:dyDescent="0.25">
      <c r="C1191" s="13" t="s">
        <v>2781</v>
      </c>
      <c r="D1191" s="13" t="s">
        <v>2782</v>
      </c>
      <c r="E1191" s="10">
        <v>1169740367</v>
      </c>
      <c r="F1191" t="s">
        <v>35</v>
      </c>
      <c r="G1191" t="s">
        <v>2784</v>
      </c>
      <c r="H1191" s="14">
        <v>3</v>
      </c>
      <c r="I1191" s="10" t="s">
        <v>28</v>
      </c>
      <c r="J1191" s="1">
        <v>45556</v>
      </c>
      <c r="K1191" s="1">
        <v>45594</v>
      </c>
      <c r="L1191" s="25">
        <f ca="1">CLIENTES[[#This Row],[Fecha Vencimiento]]-$J$6</f>
        <v>-1</v>
      </c>
      <c r="N1191" s="1" t="str">
        <f t="shared" ca="1" si="36"/>
        <v>Vencido</v>
      </c>
      <c r="O1191" s="19"/>
      <c r="P1191" s="2"/>
      <c r="Q1191" s="2">
        <f t="shared" si="37"/>
        <v>0</v>
      </c>
    </row>
    <row r="1192" spans="3:17" x14ac:dyDescent="0.25">
      <c r="C1192" s="13" t="s">
        <v>2781</v>
      </c>
      <c r="D1192" s="13" t="s">
        <v>2785</v>
      </c>
      <c r="E1192" s="10">
        <v>1138810257</v>
      </c>
      <c r="F1192" t="s">
        <v>35</v>
      </c>
      <c r="G1192" t="s">
        <v>2786</v>
      </c>
      <c r="H1192" s="14">
        <v>6</v>
      </c>
      <c r="I1192" s="10" t="s">
        <v>28</v>
      </c>
      <c r="J1192" s="1">
        <v>45569</v>
      </c>
      <c r="K1192" s="1">
        <v>45599</v>
      </c>
      <c r="L1192" s="25">
        <f ca="1">CLIENTES[[#This Row],[Fecha Vencimiento]]-$J$6</f>
        <v>4</v>
      </c>
      <c r="N1192" s="1" t="str">
        <f t="shared" ca="1" si="36"/>
        <v>Al dia</v>
      </c>
      <c r="O1192" s="19"/>
      <c r="P1192" s="2"/>
      <c r="Q1192" s="2">
        <f t="shared" si="37"/>
        <v>0</v>
      </c>
    </row>
    <row r="1193" spans="3:17" x14ac:dyDescent="0.25">
      <c r="C1193" s="13" t="s">
        <v>2781</v>
      </c>
      <c r="D1193" s="13" t="s">
        <v>2787</v>
      </c>
      <c r="F1193" t="s">
        <v>35</v>
      </c>
      <c r="G1193" t="s">
        <v>2788</v>
      </c>
      <c r="H1193" s="14">
        <v>1</v>
      </c>
      <c r="I1193" s="10" t="s">
        <v>28</v>
      </c>
      <c r="J1193" s="1">
        <v>45583</v>
      </c>
      <c r="K1193" s="1">
        <v>45614</v>
      </c>
      <c r="L1193" s="25">
        <f ca="1">CLIENTES[[#This Row],[Fecha Vencimiento]]-$J$6</f>
        <v>19</v>
      </c>
      <c r="N1193" s="1" t="str">
        <f t="shared" ca="1" si="36"/>
        <v>Al dia</v>
      </c>
      <c r="O1193" s="19">
        <v>45583</v>
      </c>
      <c r="P1193" s="2"/>
      <c r="Q1193" s="2">
        <f t="shared" si="37"/>
        <v>-45583</v>
      </c>
    </row>
    <row r="1194" spans="3:17" x14ac:dyDescent="0.25">
      <c r="C1194" s="13" t="s">
        <v>2789</v>
      </c>
      <c r="D1194" s="13" t="s">
        <v>2790</v>
      </c>
      <c r="E1194" s="10" t="s">
        <v>3106</v>
      </c>
      <c r="F1194" t="s">
        <v>159</v>
      </c>
      <c r="G1194" t="s">
        <v>2791</v>
      </c>
      <c r="H1194" s="14">
        <v>1</v>
      </c>
      <c r="I1194" s="10" t="s">
        <v>183</v>
      </c>
      <c r="J1194" s="1">
        <v>45474</v>
      </c>
      <c r="K1194" s="1">
        <v>45505</v>
      </c>
      <c r="L1194" s="25">
        <f ca="1">CLIENTES[[#This Row],[Fecha Vencimiento]]-$J$6</f>
        <v>-90</v>
      </c>
      <c r="N1194" s="1" t="str">
        <f t="shared" ca="1" si="36"/>
        <v>Vencido</v>
      </c>
      <c r="O1194" s="19">
        <v>45474</v>
      </c>
      <c r="P1194" s="2"/>
      <c r="Q1194" s="2">
        <f t="shared" si="37"/>
        <v>-45474</v>
      </c>
    </row>
    <row r="1195" spans="3:17" x14ac:dyDescent="0.25">
      <c r="C1195" s="13" t="s">
        <v>2792</v>
      </c>
      <c r="D1195" s="13" t="s">
        <v>2793</v>
      </c>
      <c r="E1195" s="10">
        <v>1131220114</v>
      </c>
      <c r="F1195" t="s">
        <v>35</v>
      </c>
      <c r="G1195" t="s">
        <v>2794</v>
      </c>
      <c r="H1195" s="14">
        <v>3</v>
      </c>
      <c r="I1195" s="10" t="s">
        <v>28</v>
      </c>
      <c r="J1195" s="1">
        <v>45573</v>
      </c>
      <c r="K1195" s="1">
        <v>45578</v>
      </c>
      <c r="L1195" s="25">
        <f ca="1">CLIENTES[[#This Row],[Fecha Vencimiento]]-$J$6</f>
        <v>-17</v>
      </c>
      <c r="N1195" s="1" t="str">
        <f t="shared" ca="1" si="36"/>
        <v>Vencido</v>
      </c>
      <c r="O1195" s="19"/>
      <c r="P1195" s="2"/>
      <c r="Q1195" s="2">
        <f t="shared" si="37"/>
        <v>0</v>
      </c>
    </row>
    <row r="1196" spans="3:17" x14ac:dyDescent="0.25">
      <c r="C1196" s="13" t="s">
        <v>2792</v>
      </c>
      <c r="D1196" s="13" t="s">
        <v>2795</v>
      </c>
      <c r="E1196" s="10">
        <v>1125519497</v>
      </c>
      <c r="F1196" t="s">
        <v>35</v>
      </c>
      <c r="G1196" t="s">
        <v>2796</v>
      </c>
      <c r="H1196" s="14">
        <v>4</v>
      </c>
      <c r="I1196" s="10" t="s">
        <v>28</v>
      </c>
      <c r="J1196" s="1">
        <v>45545</v>
      </c>
      <c r="K1196" s="1">
        <v>45568</v>
      </c>
      <c r="L1196" s="25">
        <f ca="1">CLIENTES[[#This Row],[Fecha Vencimiento]]-$J$6</f>
        <v>-27</v>
      </c>
      <c r="N1196" s="1" t="str">
        <f t="shared" ca="1" si="36"/>
        <v>Vencido</v>
      </c>
      <c r="O1196" s="19"/>
      <c r="P1196" s="2"/>
      <c r="Q1196" s="2">
        <f t="shared" si="37"/>
        <v>0</v>
      </c>
    </row>
    <row r="1197" spans="3:17" x14ac:dyDescent="0.25">
      <c r="C1197" s="13" t="s">
        <v>2792</v>
      </c>
      <c r="D1197" s="13" t="s">
        <v>2797</v>
      </c>
      <c r="E1197" s="10">
        <v>1138131634</v>
      </c>
      <c r="F1197" t="s">
        <v>35</v>
      </c>
      <c r="G1197" t="s">
        <v>2798</v>
      </c>
      <c r="H1197" s="14">
        <v>5</v>
      </c>
      <c r="I1197" s="10" t="s">
        <v>28</v>
      </c>
      <c r="J1197" s="1">
        <v>45584</v>
      </c>
      <c r="K1197" s="1">
        <v>45595</v>
      </c>
      <c r="L1197" s="25">
        <f ca="1">CLIENTES[[#This Row],[Fecha Vencimiento]]-$J$6</f>
        <v>0</v>
      </c>
      <c r="N1197" s="1" t="str">
        <f t="shared" ca="1" si="36"/>
        <v>Vence hoy</v>
      </c>
      <c r="O1197" s="19"/>
      <c r="P1197" s="2"/>
      <c r="Q1197" s="2">
        <f t="shared" si="37"/>
        <v>0</v>
      </c>
    </row>
    <row r="1198" spans="3:17" x14ac:dyDescent="0.25">
      <c r="C1198" s="13" t="s">
        <v>2792</v>
      </c>
      <c r="D1198" s="13" t="s">
        <v>462</v>
      </c>
      <c r="E1198" s="10" t="s">
        <v>2931</v>
      </c>
      <c r="F1198" t="s">
        <v>35</v>
      </c>
      <c r="G1198" t="s">
        <v>2799</v>
      </c>
      <c r="H1198" s="14">
        <v>2</v>
      </c>
      <c r="I1198" s="10" t="s">
        <v>28</v>
      </c>
      <c r="J1198" s="1">
        <v>45593</v>
      </c>
      <c r="K1198" s="1">
        <v>45621</v>
      </c>
      <c r="L1198" s="25">
        <f ca="1">CLIENTES[[#This Row],[Fecha Vencimiento]]-$J$6</f>
        <v>26</v>
      </c>
      <c r="N1198" s="1" t="str">
        <f t="shared" ca="1" si="36"/>
        <v>Al dia</v>
      </c>
      <c r="O1198" s="19">
        <v>45560</v>
      </c>
      <c r="P1198" s="2"/>
      <c r="Q1198" s="2">
        <f t="shared" si="37"/>
        <v>-45560</v>
      </c>
    </row>
    <row r="1199" spans="3:17" x14ac:dyDescent="0.25">
      <c r="C1199" s="13" t="s">
        <v>2800</v>
      </c>
      <c r="D1199" s="13" t="s">
        <v>169</v>
      </c>
      <c r="E1199" s="10">
        <v>1126811589</v>
      </c>
      <c r="F1199" t="s">
        <v>35</v>
      </c>
      <c r="G1199" t="s">
        <v>2801</v>
      </c>
      <c r="H1199" s="14">
        <v>2</v>
      </c>
      <c r="I1199" s="10" t="s">
        <v>28</v>
      </c>
      <c r="J1199" s="1">
        <v>45561</v>
      </c>
      <c r="K1199" s="1">
        <v>45592</v>
      </c>
      <c r="L1199" s="25">
        <f ca="1">CLIENTES[[#This Row],[Fecha Vencimiento]]-$J$6</f>
        <v>-3</v>
      </c>
      <c r="N1199" s="1" t="str">
        <f t="shared" ca="1" si="36"/>
        <v>Vencido</v>
      </c>
      <c r="O1199" s="19">
        <v>45530</v>
      </c>
      <c r="P1199" s="2"/>
      <c r="Q1199" s="2">
        <f t="shared" si="37"/>
        <v>-45530</v>
      </c>
    </row>
    <row r="1200" spans="3:17" x14ac:dyDescent="0.25">
      <c r="C1200" s="13" t="s">
        <v>2802</v>
      </c>
      <c r="D1200" s="13" t="s">
        <v>1009</v>
      </c>
      <c r="E1200" s="10">
        <v>1151809994</v>
      </c>
      <c r="F1200" t="s">
        <v>35</v>
      </c>
      <c r="G1200" t="s">
        <v>2803</v>
      </c>
      <c r="H1200" s="14">
        <v>3</v>
      </c>
      <c r="I1200" s="10" t="s">
        <v>28</v>
      </c>
      <c r="J1200" s="1">
        <v>45591</v>
      </c>
      <c r="K1200" s="1">
        <v>45622</v>
      </c>
      <c r="L1200" s="25">
        <f ca="1">CLIENTES[[#This Row],[Fecha Vencimiento]]-$J$6</f>
        <v>27</v>
      </c>
      <c r="N1200" s="1" t="str">
        <f t="shared" ca="1" si="36"/>
        <v>Al dia</v>
      </c>
      <c r="O1200" s="19"/>
      <c r="P1200" s="2"/>
      <c r="Q1200" s="2">
        <f t="shared" si="37"/>
        <v>0</v>
      </c>
    </row>
    <row r="1201" spans="3:17" x14ac:dyDescent="0.25">
      <c r="C1201" t="s">
        <v>2804</v>
      </c>
      <c r="D1201" t="s">
        <v>2805</v>
      </c>
      <c r="E1201" s="10">
        <v>1166386335</v>
      </c>
      <c r="F1201" t="s">
        <v>35</v>
      </c>
      <c r="G1201" t="s">
        <v>2806</v>
      </c>
      <c r="H1201" s="14">
        <v>2</v>
      </c>
      <c r="I1201" s="10" t="s">
        <v>28</v>
      </c>
      <c r="J1201" s="1">
        <v>45573</v>
      </c>
      <c r="K1201" s="1">
        <v>45614</v>
      </c>
      <c r="L1201" s="25">
        <f ca="1">CLIENTES[[#This Row],[Fecha Vencimiento]]-$J$6</f>
        <v>19</v>
      </c>
      <c r="N1201" s="1" t="str">
        <f t="shared" ca="1" si="36"/>
        <v>Al dia</v>
      </c>
      <c r="O1201" s="19">
        <v>45552</v>
      </c>
      <c r="P1201" s="2"/>
      <c r="Q1201" s="2">
        <f t="shared" si="37"/>
        <v>-45552</v>
      </c>
    </row>
    <row r="1202" spans="3:17" x14ac:dyDescent="0.25">
      <c r="C1202" t="s">
        <v>2804</v>
      </c>
      <c r="D1202" t="s">
        <v>1912</v>
      </c>
      <c r="E1202" s="10">
        <v>1133184681</v>
      </c>
      <c r="F1202" t="s">
        <v>35</v>
      </c>
      <c r="G1202" t="s">
        <v>2807</v>
      </c>
      <c r="H1202" s="14">
        <v>1</v>
      </c>
      <c r="I1202" s="10" t="s">
        <v>28</v>
      </c>
      <c r="J1202" s="1">
        <v>45552</v>
      </c>
      <c r="K1202" s="1">
        <v>45582</v>
      </c>
      <c r="L1202" s="25">
        <f ca="1">CLIENTES[[#This Row],[Fecha Vencimiento]]-$J$6</f>
        <v>-13</v>
      </c>
      <c r="N1202" s="1" t="str">
        <f t="shared" ca="1" si="36"/>
        <v>Vencido</v>
      </c>
      <c r="O1202" s="19">
        <v>45582</v>
      </c>
      <c r="P1202" s="2"/>
      <c r="Q1202" s="2">
        <f t="shared" si="37"/>
        <v>-45582</v>
      </c>
    </row>
    <row r="1203" spans="3:17" x14ac:dyDescent="0.25">
      <c r="C1203" s="13" t="s">
        <v>438</v>
      </c>
      <c r="D1203" s="13" t="s">
        <v>2808</v>
      </c>
      <c r="F1203" t="s">
        <v>35</v>
      </c>
      <c r="G1203" t="s">
        <v>2809</v>
      </c>
      <c r="H1203" s="14">
        <v>6</v>
      </c>
      <c r="I1203" s="10" t="s">
        <v>28</v>
      </c>
      <c r="J1203" s="1">
        <v>45548</v>
      </c>
      <c r="K1203" s="1">
        <v>45548</v>
      </c>
      <c r="L1203" s="25">
        <f ca="1">CLIENTES[[#This Row],[Fecha Vencimiento]]-$J$6</f>
        <v>-47</v>
      </c>
      <c r="N1203" s="1" t="str">
        <f t="shared" ref="N1203:N1262" ca="1" si="38">IF(L1203&lt;0,"Vencido",IF(L1203=0,"Vence hoy",IF(L1203&lt;4,"Por vencer","Al dia")))</f>
        <v>Vencido</v>
      </c>
      <c r="O1203" s="19"/>
      <c r="P1203" s="2"/>
      <c r="Q1203" s="2">
        <f t="shared" si="37"/>
        <v>0</v>
      </c>
    </row>
    <row r="1204" spans="3:17" x14ac:dyDescent="0.25">
      <c r="C1204" s="13" t="s">
        <v>438</v>
      </c>
      <c r="D1204" s="13" t="s">
        <v>2810</v>
      </c>
      <c r="E1204" s="10">
        <v>1130322841</v>
      </c>
      <c r="F1204" t="s">
        <v>35</v>
      </c>
      <c r="G1204" t="s">
        <v>2811</v>
      </c>
      <c r="H1204" s="14">
        <v>2</v>
      </c>
      <c r="I1204" s="10" t="s">
        <v>28</v>
      </c>
      <c r="J1204" s="1">
        <v>45586</v>
      </c>
      <c r="K1204" s="1">
        <v>45617</v>
      </c>
      <c r="L1204" s="25">
        <f ca="1">CLIENTES[[#This Row],[Fecha Vencimiento]]-$J$6</f>
        <v>22</v>
      </c>
      <c r="N1204" s="1" t="str">
        <f t="shared" ca="1" si="38"/>
        <v>Al dia</v>
      </c>
      <c r="O1204" s="19">
        <v>45556</v>
      </c>
      <c r="P1204" s="2"/>
      <c r="Q1204" s="2">
        <f t="shared" si="37"/>
        <v>-45556</v>
      </c>
    </row>
    <row r="1205" spans="3:17" x14ac:dyDescent="0.25">
      <c r="C1205" s="13" t="s">
        <v>2812</v>
      </c>
      <c r="D1205" s="13" t="s">
        <v>2813</v>
      </c>
      <c r="F1205" t="s">
        <v>35</v>
      </c>
      <c r="G1205" t="s">
        <v>2814</v>
      </c>
      <c r="I1205" s="10" t="s">
        <v>28</v>
      </c>
      <c r="J1205" s="1">
        <v>45507</v>
      </c>
      <c r="K1205" s="1">
        <v>45527</v>
      </c>
      <c r="L1205" s="25">
        <f ca="1">CLIENTES[[#This Row],[Fecha Vencimiento]]-$J$6</f>
        <v>-68</v>
      </c>
      <c r="N1205" s="1" t="str">
        <f t="shared" ca="1" si="38"/>
        <v>Vencido</v>
      </c>
      <c r="O1205" s="19"/>
      <c r="P1205" s="2"/>
      <c r="Q1205" s="2">
        <f t="shared" si="37"/>
        <v>0</v>
      </c>
    </row>
    <row r="1206" spans="3:17" x14ac:dyDescent="0.25">
      <c r="C1206" s="13" t="s">
        <v>2812</v>
      </c>
      <c r="D1206" s="13" t="s">
        <v>117</v>
      </c>
      <c r="E1206" s="10" t="s">
        <v>2931</v>
      </c>
      <c r="F1206" t="s">
        <v>35</v>
      </c>
      <c r="G1206" t="s">
        <v>2815</v>
      </c>
      <c r="H1206" s="14">
        <v>2</v>
      </c>
      <c r="I1206" s="10" t="s">
        <v>28</v>
      </c>
      <c r="J1206" s="1">
        <v>45545</v>
      </c>
      <c r="K1206" s="1">
        <v>45564</v>
      </c>
      <c r="L1206" s="25">
        <f ca="1">CLIENTES[[#This Row],[Fecha Vencimiento]]-$J$6</f>
        <v>-31</v>
      </c>
      <c r="N1206" s="1" t="str">
        <f t="shared" ca="1" si="38"/>
        <v>Vencido</v>
      </c>
      <c r="O1206" s="19"/>
      <c r="P1206" s="2"/>
      <c r="Q1206" s="2">
        <f t="shared" si="37"/>
        <v>0</v>
      </c>
    </row>
    <row r="1207" spans="3:17" x14ac:dyDescent="0.25">
      <c r="C1207" s="13" t="s">
        <v>2816</v>
      </c>
      <c r="D1207" s="13" t="s">
        <v>2817</v>
      </c>
      <c r="F1207" t="s">
        <v>35</v>
      </c>
      <c r="G1207" t="s">
        <v>2818</v>
      </c>
      <c r="H1207" s="14">
        <v>1</v>
      </c>
      <c r="I1207" s="10" t="s">
        <v>28</v>
      </c>
      <c r="J1207" s="1">
        <v>45583</v>
      </c>
      <c r="K1207" s="1">
        <v>45614</v>
      </c>
      <c r="L1207" s="25">
        <f ca="1">CLIENTES[[#This Row],[Fecha Vencimiento]]-$J$6</f>
        <v>19</v>
      </c>
      <c r="N1207" s="1" t="str">
        <f t="shared" ca="1" si="38"/>
        <v>Al dia</v>
      </c>
      <c r="O1207" s="19">
        <v>45583</v>
      </c>
      <c r="P1207" s="2"/>
      <c r="Q1207" s="2">
        <f t="shared" si="37"/>
        <v>-45583</v>
      </c>
    </row>
    <row r="1208" spans="3:17" x14ac:dyDescent="0.25">
      <c r="C1208" s="13" t="s">
        <v>2819</v>
      </c>
      <c r="D1208" s="13" t="s">
        <v>169</v>
      </c>
      <c r="F1208" t="s">
        <v>35</v>
      </c>
      <c r="G1208" t="s">
        <v>2820</v>
      </c>
      <c r="H1208" s="14">
        <v>3</v>
      </c>
      <c r="I1208" s="10" t="s">
        <v>28</v>
      </c>
      <c r="J1208" s="1">
        <v>45574</v>
      </c>
      <c r="K1208" s="1">
        <v>45615</v>
      </c>
      <c r="L1208" s="25">
        <f ca="1">CLIENTES[[#This Row],[Fecha Vencimiento]]-$J$6</f>
        <v>20</v>
      </c>
      <c r="N1208" s="1" t="str">
        <f t="shared" ca="1" si="38"/>
        <v>Al dia</v>
      </c>
      <c r="O1208" s="19"/>
      <c r="P1208" s="2"/>
      <c r="Q1208" s="2">
        <f t="shared" si="37"/>
        <v>0</v>
      </c>
    </row>
    <row r="1209" spans="3:17" x14ac:dyDescent="0.25">
      <c r="C1209" s="13" t="s">
        <v>2821</v>
      </c>
      <c r="D1209" s="13" t="s">
        <v>2822</v>
      </c>
      <c r="E1209" s="10">
        <v>1171638587</v>
      </c>
      <c r="F1209" t="s">
        <v>35</v>
      </c>
      <c r="G1209" t="s">
        <v>2823</v>
      </c>
      <c r="H1209" s="14">
        <v>3</v>
      </c>
      <c r="I1209" s="10" t="s">
        <v>28</v>
      </c>
      <c r="J1209" s="1">
        <v>45562</v>
      </c>
      <c r="K1209" s="1">
        <v>45595</v>
      </c>
      <c r="L1209" s="25">
        <f ca="1">CLIENTES[[#This Row],[Fecha Vencimiento]]-$J$6</f>
        <v>0</v>
      </c>
      <c r="N1209" s="1" t="str">
        <f t="shared" ca="1" si="38"/>
        <v>Vence hoy</v>
      </c>
      <c r="O1209" s="19"/>
      <c r="P1209" s="2"/>
      <c r="Q1209" s="2">
        <f t="shared" si="37"/>
        <v>0</v>
      </c>
    </row>
    <row r="1210" spans="3:17" x14ac:dyDescent="0.25">
      <c r="C1210" s="13" t="s">
        <v>2821</v>
      </c>
      <c r="D1210" s="13" t="s">
        <v>2824</v>
      </c>
      <c r="E1210" s="10">
        <v>1138677441</v>
      </c>
      <c r="F1210" t="s">
        <v>35</v>
      </c>
      <c r="G1210" t="s">
        <v>2825</v>
      </c>
      <c r="H1210" s="14">
        <v>5</v>
      </c>
      <c r="I1210" s="10" t="s">
        <v>28</v>
      </c>
      <c r="J1210" s="1">
        <v>45572</v>
      </c>
      <c r="K1210" s="1">
        <v>45604</v>
      </c>
      <c r="L1210" s="25">
        <f ca="1">CLIENTES[[#This Row],[Fecha Vencimiento]]-$J$6</f>
        <v>9</v>
      </c>
      <c r="N1210" s="1" t="str">
        <f t="shared" ca="1" si="38"/>
        <v>Al dia</v>
      </c>
      <c r="O1210" s="19"/>
      <c r="P1210" s="2"/>
      <c r="Q1210" s="2">
        <f t="shared" si="37"/>
        <v>0</v>
      </c>
    </row>
    <row r="1211" spans="3:17" x14ac:dyDescent="0.25">
      <c r="C1211" s="13" t="s">
        <v>2826</v>
      </c>
      <c r="D1211" s="13" t="s">
        <v>2827</v>
      </c>
      <c r="E1211" s="10">
        <v>1136511586</v>
      </c>
      <c r="F1211" t="s">
        <v>35</v>
      </c>
      <c r="G1211" t="s">
        <v>2828</v>
      </c>
      <c r="H1211" s="14">
        <v>1</v>
      </c>
      <c r="I1211" s="10" t="s">
        <v>28</v>
      </c>
      <c r="J1211" s="1">
        <v>45589</v>
      </c>
      <c r="K1211" s="1">
        <v>45620</v>
      </c>
      <c r="L1211" s="25">
        <f ca="1">CLIENTES[[#This Row],[Fecha Vencimiento]]-$J$6</f>
        <v>25</v>
      </c>
      <c r="N1211" s="1" t="str">
        <f t="shared" ca="1" si="38"/>
        <v>Al dia</v>
      </c>
      <c r="O1211" s="19"/>
      <c r="P1211" s="2"/>
      <c r="Q1211" s="2">
        <f t="shared" si="37"/>
        <v>0</v>
      </c>
    </row>
    <row r="1212" spans="3:17" x14ac:dyDescent="0.25">
      <c r="C1212" s="13" t="s">
        <v>2829</v>
      </c>
      <c r="D1212" s="13" t="s">
        <v>2830</v>
      </c>
      <c r="E1212" s="10">
        <v>1158124499</v>
      </c>
      <c r="F1212" t="s">
        <v>35</v>
      </c>
      <c r="G1212" t="s">
        <v>2831</v>
      </c>
      <c r="H1212" s="14">
        <v>1</v>
      </c>
      <c r="I1212" s="10" t="s">
        <v>28</v>
      </c>
      <c r="J1212" s="1">
        <v>45562</v>
      </c>
      <c r="K1212" s="1">
        <v>45592</v>
      </c>
      <c r="L1212" s="25">
        <f ca="1">CLIENTES[[#This Row],[Fecha Vencimiento]]-$J$6</f>
        <v>-3</v>
      </c>
      <c r="N1212" s="1" t="str">
        <f t="shared" ca="1" si="38"/>
        <v>Vencido</v>
      </c>
      <c r="O1212" s="19">
        <v>45562</v>
      </c>
      <c r="P1212" s="2"/>
      <c r="Q1212" s="2">
        <f t="shared" si="37"/>
        <v>-45562</v>
      </c>
    </row>
    <row r="1213" spans="3:17" x14ac:dyDescent="0.25">
      <c r="C1213" s="13" t="s">
        <v>2832</v>
      </c>
      <c r="D1213" s="13" t="s">
        <v>2833</v>
      </c>
      <c r="E1213" s="10">
        <v>1127941380</v>
      </c>
      <c r="F1213" t="s">
        <v>35</v>
      </c>
      <c r="G1213" t="s">
        <v>2834</v>
      </c>
      <c r="H1213" s="14">
        <v>2</v>
      </c>
      <c r="I1213" s="10" t="s">
        <v>28</v>
      </c>
      <c r="J1213" s="1">
        <v>45567</v>
      </c>
      <c r="K1213" s="1">
        <v>45600</v>
      </c>
      <c r="L1213" s="25">
        <f ca="1">CLIENTES[[#This Row],[Fecha Vencimiento]]-$J$6</f>
        <v>5</v>
      </c>
      <c r="N1213" s="1" t="str">
        <f t="shared" ca="1" si="38"/>
        <v>Al dia</v>
      </c>
      <c r="O1213" s="19">
        <v>45539</v>
      </c>
      <c r="P1213" s="2"/>
      <c r="Q1213" s="2">
        <f t="shared" si="37"/>
        <v>-45539</v>
      </c>
    </row>
    <row r="1214" spans="3:17" x14ac:dyDescent="0.25">
      <c r="C1214" s="13" t="s">
        <v>2835</v>
      </c>
      <c r="D1214" s="13" t="s">
        <v>2836</v>
      </c>
      <c r="E1214" s="10">
        <v>1168294872</v>
      </c>
      <c r="F1214" t="s">
        <v>35</v>
      </c>
      <c r="G1214" t="s">
        <v>2837</v>
      </c>
      <c r="H1214" s="14">
        <v>3</v>
      </c>
      <c r="I1214" s="10" t="s">
        <v>28</v>
      </c>
      <c r="J1214" s="1">
        <v>45582</v>
      </c>
      <c r="K1214" s="1">
        <v>45604</v>
      </c>
      <c r="L1214" s="25">
        <f ca="1">CLIENTES[[#This Row],[Fecha Vencimiento]]-$J$6</f>
        <v>9</v>
      </c>
      <c r="N1214" s="1" t="str">
        <f t="shared" ca="1" si="38"/>
        <v>Al dia</v>
      </c>
      <c r="O1214" s="19"/>
      <c r="P1214" s="2"/>
      <c r="Q1214" s="2">
        <f t="shared" si="37"/>
        <v>0</v>
      </c>
    </row>
    <row r="1215" spans="3:17" x14ac:dyDescent="0.25">
      <c r="C1215" s="13" t="s">
        <v>2835</v>
      </c>
      <c r="D1215" s="13" t="s">
        <v>2838</v>
      </c>
      <c r="F1215" t="s">
        <v>35</v>
      </c>
      <c r="G1215" t="s">
        <v>2839</v>
      </c>
      <c r="H1215" s="14">
        <v>4</v>
      </c>
      <c r="I1215" s="10" t="s">
        <v>28</v>
      </c>
      <c r="J1215" s="1">
        <v>45593</v>
      </c>
      <c r="K1215" s="1"/>
      <c r="L1215" s="25">
        <f ca="1">CLIENTES[[#This Row],[Fecha Vencimiento]]-$J$6</f>
        <v>-45595</v>
      </c>
      <c r="N1215" s="1" t="str">
        <f t="shared" ca="1" si="38"/>
        <v>Vencido</v>
      </c>
      <c r="O1215" s="19"/>
      <c r="P1215" s="2"/>
      <c r="Q1215" s="2">
        <f t="shared" si="37"/>
        <v>0</v>
      </c>
    </row>
    <row r="1216" spans="3:17" x14ac:dyDescent="0.25">
      <c r="C1216" s="13" t="s">
        <v>2835</v>
      </c>
      <c r="D1216" s="13" t="s">
        <v>2838</v>
      </c>
      <c r="F1216" t="s">
        <v>35</v>
      </c>
      <c r="G1216" t="s">
        <v>2840</v>
      </c>
      <c r="H1216" s="14">
        <v>1</v>
      </c>
      <c r="I1216" s="10" t="s">
        <v>28</v>
      </c>
      <c r="J1216" s="1">
        <v>45594</v>
      </c>
      <c r="K1216" s="1">
        <v>45625</v>
      </c>
      <c r="L1216" s="25">
        <f ca="1">CLIENTES[[#This Row],[Fecha Vencimiento]]-$J$6</f>
        <v>30</v>
      </c>
      <c r="N1216" s="1" t="str">
        <f t="shared" ca="1" si="38"/>
        <v>Al dia</v>
      </c>
      <c r="O1216" s="19">
        <v>45594</v>
      </c>
      <c r="P1216" s="2"/>
      <c r="Q1216" s="2">
        <f t="shared" si="37"/>
        <v>-45594</v>
      </c>
    </row>
    <row r="1217" spans="2:17" x14ac:dyDescent="0.25">
      <c r="C1217" s="13" t="s">
        <v>2835</v>
      </c>
      <c r="D1217" s="13" t="s">
        <v>56</v>
      </c>
      <c r="E1217" s="10" t="s">
        <v>3106</v>
      </c>
      <c r="F1217" t="s">
        <v>35</v>
      </c>
      <c r="G1217" t="s">
        <v>2841</v>
      </c>
      <c r="H1217" s="14">
        <v>4</v>
      </c>
      <c r="I1217" s="10" t="s">
        <v>28</v>
      </c>
      <c r="J1217" s="1">
        <v>45556</v>
      </c>
      <c r="K1217" s="1">
        <v>45572</v>
      </c>
      <c r="L1217" s="25">
        <f ca="1">CLIENTES[[#This Row],[Fecha Vencimiento]]-$J$6</f>
        <v>-23</v>
      </c>
      <c r="N1217" s="1" t="str">
        <f t="shared" ca="1" si="38"/>
        <v>Vencido</v>
      </c>
      <c r="O1217" s="19"/>
      <c r="P1217" s="2"/>
      <c r="Q1217" s="2">
        <f t="shared" si="37"/>
        <v>0</v>
      </c>
    </row>
    <row r="1218" spans="2:17" x14ac:dyDescent="0.25">
      <c r="C1218" s="13" t="s">
        <v>2842</v>
      </c>
      <c r="D1218" s="13" t="s">
        <v>2843</v>
      </c>
      <c r="F1218" t="s">
        <v>35</v>
      </c>
      <c r="G1218" t="s">
        <v>2844</v>
      </c>
      <c r="I1218" s="10" t="s">
        <v>28</v>
      </c>
      <c r="J1218" s="1">
        <v>45458</v>
      </c>
      <c r="K1218" s="1">
        <v>45488</v>
      </c>
      <c r="L1218" s="25">
        <f ca="1">CLIENTES[[#This Row],[Fecha Vencimiento]]-$J$6</f>
        <v>-107</v>
      </c>
      <c r="N1218" s="1" t="str">
        <f t="shared" ca="1" si="38"/>
        <v>Vencido</v>
      </c>
      <c r="O1218" s="19"/>
      <c r="P1218" s="2"/>
      <c r="Q1218" s="2">
        <f t="shared" si="37"/>
        <v>0</v>
      </c>
    </row>
    <row r="1219" spans="2:17" x14ac:dyDescent="0.25">
      <c r="C1219" s="13" t="s">
        <v>2842</v>
      </c>
      <c r="D1219" s="13" t="s">
        <v>2845</v>
      </c>
      <c r="E1219" s="10">
        <v>1159397032</v>
      </c>
      <c r="F1219" t="s">
        <v>35</v>
      </c>
      <c r="G1219" t="s">
        <v>2846</v>
      </c>
      <c r="H1219" s="14">
        <v>3</v>
      </c>
      <c r="I1219" s="10" t="s">
        <v>28</v>
      </c>
      <c r="J1219" s="1">
        <v>45588</v>
      </c>
      <c r="K1219" s="1">
        <v>45622</v>
      </c>
      <c r="L1219" s="25">
        <f ca="1">CLIENTES[[#This Row],[Fecha Vencimiento]]-$J$6</f>
        <v>27</v>
      </c>
      <c r="N1219" s="1" t="str">
        <f t="shared" ca="1" si="38"/>
        <v>Al dia</v>
      </c>
      <c r="O1219" s="19">
        <v>45561</v>
      </c>
      <c r="P1219" s="2"/>
      <c r="Q1219" s="2">
        <f t="shared" si="37"/>
        <v>-45561</v>
      </c>
    </row>
    <row r="1220" spans="2:17" x14ac:dyDescent="0.25">
      <c r="C1220" s="13" t="s">
        <v>2842</v>
      </c>
      <c r="D1220" s="13" t="s">
        <v>2847</v>
      </c>
      <c r="F1220" t="s">
        <v>35</v>
      </c>
      <c r="G1220" t="s">
        <v>2848</v>
      </c>
      <c r="H1220" s="14">
        <v>1</v>
      </c>
      <c r="I1220" s="10" t="s">
        <v>28</v>
      </c>
      <c r="J1220" s="1">
        <v>45573</v>
      </c>
      <c r="K1220" s="1">
        <v>45604</v>
      </c>
      <c r="L1220" s="25">
        <f ca="1">CLIENTES[[#This Row],[Fecha Vencimiento]]-$J$6</f>
        <v>9</v>
      </c>
      <c r="N1220" s="1" t="str">
        <f t="shared" ca="1" si="38"/>
        <v>Al dia</v>
      </c>
      <c r="O1220" s="19">
        <v>45573</v>
      </c>
      <c r="P1220" s="2"/>
      <c r="Q1220" s="2">
        <f t="shared" si="37"/>
        <v>-45573</v>
      </c>
    </row>
    <row r="1221" spans="2:17" x14ac:dyDescent="0.25">
      <c r="C1221" s="13" t="s">
        <v>2849</v>
      </c>
      <c r="D1221" s="13" t="s">
        <v>2850</v>
      </c>
      <c r="F1221" t="s">
        <v>35</v>
      </c>
      <c r="G1221" t="s">
        <v>2851</v>
      </c>
      <c r="I1221" s="10" t="s">
        <v>28</v>
      </c>
      <c r="J1221" s="1">
        <v>45475</v>
      </c>
      <c r="K1221" s="1">
        <v>45506</v>
      </c>
      <c r="L1221" s="25">
        <f ca="1">CLIENTES[[#This Row],[Fecha Vencimiento]]-$J$6</f>
        <v>-89</v>
      </c>
      <c r="N1221" s="1" t="str">
        <f t="shared" ca="1" si="38"/>
        <v>Vencido</v>
      </c>
      <c r="O1221" s="19"/>
      <c r="P1221" s="2"/>
      <c r="Q1221" s="2">
        <f t="shared" si="37"/>
        <v>0</v>
      </c>
    </row>
    <row r="1222" spans="2:17" x14ac:dyDescent="0.25">
      <c r="C1222" s="13" t="s">
        <v>2852</v>
      </c>
      <c r="D1222" s="13" t="s">
        <v>2853</v>
      </c>
      <c r="E1222" s="10">
        <v>1138417528</v>
      </c>
      <c r="F1222" t="s">
        <v>35</v>
      </c>
      <c r="G1222" t="s">
        <v>2854</v>
      </c>
      <c r="I1222" s="10" t="s">
        <v>28</v>
      </c>
      <c r="J1222" s="1">
        <v>45505</v>
      </c>
      <c r="K1222" s="1">
        <v>45536</v>
      </c>
      <c r="L1222" s="25">
        <f ca="1">CLIENTES[[#This Row],[Fecha Vencimiento]]-$J$6</f>
        <v>-59</v>
      </c>
      <c r="N1222" s="1" t="str">
        <f t="shared" ca="1" si="38"/>
        <v>Vencido</v>
      </c>
      <c r="O1222" s="19"/>
      <c r="P1222" s="2"/>
      <c r="Q1222" s="2">
        <f t="shared" si="37"/>
        <v>0</v>
      </c>
    </row>
    <row r="1223" spans="2:17" x14ac:dyDescent="0.25">
      <c r="B1223" t="s">
        <v>1097</v>
      </c>
      <c r="C1223" s="13" t="s">
        <v>2855</v>
      </c>
      <c r="D1223" s="13" t="s">
        <v>513</v>
      </c>
      <c r="F1223" t="s">
        <v>35</v>
      </c>
      <c r="G1223" t="s">
        <v>2856</v>
      </c>
      <c r="I1223" s="10" t="s">
        <v>28</v>
      </c>
      <c r="J1223" s="1">
        <v>45490</v>
      </c>
      <c r="K1223" s="1">
        <v>45520</v>
      </c>
      <c r="L1223" s="25">
        <f ca="1">CLIENTES[[#This Row],[Fecha Vencimiento]]-$J$6</f>
        <v>-75</v>
      </c>
      <c r="N1223" s="1" t="str">
        <f t="shared" ca="1" si="38"/>
        <v>Vencido</v>
      </c>
      <c r="O1223" s="19"/>
      <c r="P1223" s="2"/>
      <c r="Q1223" s="2">
        <f t="shared" si="37"/>
        <v>0</v>
      </c>
    </row>
    <row r="1224" spans="2:17" x14ac:dyDescent="0.25">
      <c r="C1224" s="13" t="s">
        <v>2857</v>
      </c>
      <c r="D1224" s="13" t="s">
        <v>2858</v>
      </c>
      <c r="E1224" s="10">
        <v>1150458143</v>
      </c>
      <c r="F1224" t="s">
        <v>35</v>
      </c>
      <c r="G1224" t="s">
        <v>2859</v>
      </c>
      <c r="H1224" s="14">
        <v>2</v>
      </c>
      <c r="I1224" s="10" t="s">
        <v>28</v>
      </c>
      <c r="J1224" s="1">
        <v>45577</v>
      </c>
      <c r="K1224" s="1">
        <v>45601</v>
      </c>
      <c r="L1224" s="25">
        <f ca="1">CLIENTES[[#This Row],[Fecha Vencimiento]]-$J$6</f>
        <v>6</v>
      </c>
      <c r="N1224" s="1" t="str">
        <f t="shared" ca="1" si="38"/>
        <v>Al dia</v>
      </c>
      <c r="O1224" s="19">
        <v>45540</v>
      </c>
      <c r="P1224" s="2"/>
      <c r="Q1224" s="2">
        <f t="shared" ref="Q1224:Q1287" si="39">P1224-O1224</f>
        <v>-45540</v>
      </c>
    </row>
    <row r="1225" spans="2:17" x14ac:dyDescent="0.25">
      <c r="C1225" s="13" t="s">
        <v>2860</v>
      </c>
      <c r="D1225" s="13" t="s">
        <v>2861</v>
      </c>
      <c r="E1225" s="10">
        <v>1124907759</v>
      </c>
      <c r="F1225" t="s">
        <v>35</v>
      </c>
      <c r="G1225" t="s">
        <v>2862</v>
      </c>
      <c r="H1225" s="14">
        <v>6</v>
      </c>
      <c r="I1225" s="10" t="s">
        <v>28</v>
      </c>
      <c r="J1225" s="1">
        <v>45576</v>
      </c>
      <c r="K1225" s="1">
        <v>45607</v>
      </c>
      <c r="L1225" s="25">
        <f ca="1">CLIENTES[[#This Row],[Fecha Vencimiento]]-$J$6</f>
        <v>12</v>
      </c>
      <c r="N1225" s="1" t="str">
        <f t="shared" ca="1" si="38"/>
        <v>Al dia</v>
      </c>
      <c r="O1225" s="19"/>
      <c r="P1225" s="2"/>
      <c r="Q1225" s="2">
        <f t="shared" si="39"/>
        <v>0</v>
      </c>
    </row>
    <row r="1226" spans="2:17" x14ac:dyDescent="0.25">
      <c r="C1226" s="13" t="s">
        <v>2863</v>
      </c>
      <c r="D1226" s="13" t="s">
        <v>645</v>
      </c>
      <c r="E1226" s="10">
        <v>1150393645</v>
      </c>
      <c r="F1226" t="s">
        <v>35</v>
      </c>
      <c r="G1226" t="s">
        <v>2864</v>
      </c>
      <c r="H1226" s="14">
        <v>3</v>
      </c>
      <c r="I1226" s="10" t="s">
        <v>28</v>
      </c>
      <c r="J1226" s="1">
        <v>45582</v>
      </c>
      <c r="K1226" s="1">
        <v>45597</v>
      </c>
      <c r="L1226" s="25">
        <f ca="1">CLIENTES[[#This Row],[Fecha Vencimiento]]-$J$6</f>
        <v>2</v>
      </c>
      <c r="N1226" s="1" t="str">
        <f t="shared" ca="1" si="38"/>
        <v>Por vencer</v>
      </c>
      <c r="O1226" s="19"/>
      <c r="P1226" s="2"/>
      <c r="Q1226" s="2">
        <f t="shared" si="39"/>
        <v>0</v>
      </c>
    </row>
    <row r="1227" spans="2:17" x14ac:dyDescent="0.25">
      <c r="C1227" s="13" t="s">
        <v>2865</v>
      </c>
      <c r="D1227" s="13" t="s">
        <v>2866</v>
      </c>
      <c r="E1227" s="10">
        <v>1166496179</v>
      </c>
      <c r="F1227" t="s">
        <v>35</v>
      </c>
      <c r="G1227" t="s">
        <v>2867</v>
      </c>
      <c r="H1227" s="14">
        <v>6</v>
      </c>
      <c r="I1227" s="10" t="s">
        <v>28</v>
      </c>
      <c r="J1227" s="1">
        <v>45570</v>
      </c>
      <c r="K1227" s="1">
        <v>45600</v>
      </c>
      <c r="L1227" s="25">
        <f ca="1">CLIENTES[[#This Row],[Fecha Vencimiento]]-$J$6</f>
        <v>5</v>
      </c>
      <c r="N1227" s="1" t="str">
        <f t="shared" ca="1" si="38"/>
        <v>Al dia</v>
      </c>
      <c r="O1227" s="19"/>
      <c r="P1227" s="2"/>
      <c r="Q1227" s="2">
        <f t="shared" si="39"/>
        <v>0</v>
      </c>
    </row>
    <row r="1228" spans="2:17" x14ac:dyDescent="0.25">
      <c r="C1228" s="13" t="s">
        <v>2868</v>
      </c>
      <c r="D1228" s="13" t="s">
        <v>277</v>
      </c>
      <c r="E1228" s="10">
        <v>1161111495</v>
      </c>
      <c r="F1228" t="s">
        <v>35</v>
      </c>
      <c r="G1228" t="s">
        <v>2869</v>
      </c>
      <c r="H1228" s="14">
        <v>2</v>
      </c>
      <c r="I1228" s="10" t="s">
        <v>28</v>
      </c>
      <c r="J1228" s="1">
        <v>45579</v>
      </c>
      <c r="K1228" s="1">
        <v>45611</v>
      </c>
      <c r="L1228" s="25">
        <f ca="1">CLIENTES[[#This Row],[Fecha Vencimiento]]-$J$6</f>
        <v>16</v>
      </c>
      <c r="N1228" s="1" t="str">
        <f t="shared" ca="1" si="38"/>
        <v>Al dia</v>
      </c>
      <c r="O1228" s="19"/>
      <c r="P1228" s="2"/>
      <c r="Q1228" s="2">
        <f t="shared" si="39"/>
        <v>0</v>
      </c>
    </row>
    <row r="1229" spans="2:17" x14ac:dyDescent="0.25">
      <c r="C1229" s="13" t="s">
        <v>2870</v>
      </c>
      <c r="D1229" s="13" t="s">
        <v>2871</v>
      </c>
      <c r="E1229" s="10">
        <v>1151030432</v>
      </c>
      <c r="F1229" t="s">
        <v>35</v>
      </c>
      <c r="G1229" t="s">
        <v>2872</v>
      </c>
      <c r="H1229" s="14">
        <v>1</v>
      </c>
      <c r="I1229" s="10" t="s">
        <v>28</v>
      </c>
      <c r="J1229" s="1">
        <v>45570</v>
      </c>
      <c r="K1229" s="1">
        <v>45601</v>
      </c>
      <c r="L1229" s="25">
        <f ca="1">CLIENTES[[#This Row],[Fecha Vencimiento]]-$J$6</f>
        <v>6</v>
      </c>
      <c r="N1229" s="1" t="str">
        <f t="shared" ca="1" si="38"/>
        <v>Al dia</v>
      </c>
      <c r="O1229" s="19">
        <v>45570</v>
      </c>
      <c r="P1229" s="2"/>
      <c r="Q1229" s="2">
        <f t="shared" si="39"/>
        <v>-45570</v>
      </c>
    </row>
    <row r="1230" spans="2:17" x14ac:dyDescent="0.25">
      <c r="C1230" s="13" t="s">
        <v>2873</v>
      </c>
      <c r="D1230" s="13" t="s">
        <v>2874</v>
      </c>
      <c r="E1230" s="10">
        <v>1167519552</v>
      </c>
      <c r="F1230" t="s">
        <v>35</v>
      </c>
      <c r="G1230" t="s">
        <v>2875</v>
      </c>
      <c r="H1230" s="14">
        <v>4</v>
      </c>
      <c r="I1230" s="10" t="s">
        <v>28</v>
      </c>
      <c r="J1230" s="1">
        <v>45577</v>
      </c>
      <c r="K1230" s="1">
        <v>45611</v>
      </c>
      <c r="L1230" s="25">
        <f ca="1">CLIENTES[[#This Row],[Fecha Vencimiento]]-$J$6</f>
        <v>16</v>
      </c>
      <c r="N1230" s="1" t="str">
        <f t="shared" ca="1" si="38"/>
        <v>Al dia</v>
      </c>
      <c r="O1230" s="19"/>
      <c r="P1230" s="2"/>
      <c r="Q1230" s="2">
        <f t="shared" si="39"/>
        <v>0</v>
      </c>
    </row>
    <row r="1231" spans="2:17" x14ac:dyDescent="0.25">
      <c r="C1231" s="13" t="s">
        <v>2873</v>
      </c>
      <c r="D1231" s="13" t="s">
        <v>322</v>
      </c>
      <c r="F1231" t="s">
        <v>35</v>
      </c>
      <c r="G1231" t="s">
        <v>2876</v>
      </c>
      <c r="H1231" s="14">
        <v>3</v>
      </c>
      <c r="I1231" s="10" t="s">
        <v>28</v>
      </c>
      <c r="J1231" s="1">
        <v>45581</v>
      </c>
      <c r="K1231" s="1">
        <v>45612</v>
      </c>
      <c r="L1231" s="25">
        <f ca="1">CLIENTES[[#This Row],[Fecha Vencimiento]]-$J$6</f>
        <v>17</v>
      </c>
      <c r="N1231" s="1" t="str">
        <f t="shared" ca="1" si="38"/>
        <v>Al dia</v>
      </c>
      <c r="O1231" s="19"/>
      <c r="P1231" s="2"/>
      <c r="Q1231" s="2">
        <f t="shared" si="39"/>
        <v>0</v>
      </c>
    </row>
    <row r="1232" spans="2:17" x14ac:dyDescent="0.25">
      <c r="C1232" s="13" t="s">
        <v>2877</v>
      </c>
      <c r="D1232" s="13" t="s">
        <v>2878</v>
      </c>
      <c r="E1232" s="10">
        <v>1123101284</v>
      </c>
      <c r="F1232" t="s">
        <v>35</v>
      </c>
      <c r="G1232" t="s">
        <v>2879</v>
      </c>
      <c r="H1232" s="14">
        <v>2</v>
      </c>
      <c r="I1232" s="10" t="s">
        <v>28</v>
      </c>
      <c r="J1232" s="1">
        <v>45549</v>
      </c>
      <c r="K1232" s="1">
        <v>45607</v>
      </c>
      <c r="L1232" s="25">
        <f ca="1">CLIENTES[[#This Row],[Fecha Vencimiento]]-$J$6</f>
        <v>12</v>
      </c>
      <c r="N1232" s="1" t="str">
        <f t="shared" ca="1" si="38"/>
        <v>Al dia</v>
      </c>
      <c r="O1232" s="19">
        <v>45546</v>
      </c>
      <c r="P1232" s="2"/>
      <c r="Q1232" s="2">
        <f t="shared" si="39"/>
        <v>-45546</v>
      </c>
    </row>
    <row r="1233" spans="3:17" x14ac:dyDescent="0.25">
      <c r="C1233" s="13" t="s">
        <v>2880</v>
      </c>
      <c r="D1233" s="13" t="s">
        <v>2388</v>
      </c>
      <c r="E1233" s="10">
        <v>1170215514</v>
      </c>
      <c r="F1233" t="s">
        <v>35</v>
      </c>
      <c r="G1233" t="s">
        <v>2881</v>
      </c>
      <c r="H1233" s="14">
        <v>6</v>
      </c>
      <c r="I1233" s="10" t="s">
        <v>28</v>
      </c>
      <c r="J1233" s="1">
        <v>45581</v>
      </c>
      <c r="K1233" s="1">
        <v>45610</v>
      </c>
      <c r="L1233" s="25">
        <f ca="1">CLIENTES[[#This Row],[Fecha Vencimiento]]-$J$6</f>
        <v>15</v>
      </c>
      <c r="N1233" s="1" t="str">
        <f t="shared" ca="1" si="38"/>
        <v>Al dia</v>
      </c>
      <c r="O1233" s="19"/>
      <c r="P1233" s="2"/>
      <c r="Q1233" s="2">
        <f t="shared" si="39"/>
        <v>0</v>
      </c>
    </row>
    <row r="1234" spans="3:17" x14ac:dyDescent="0.25">
      <c r="C1234" s="13" t="s">
        <v>2880</v>
      </c>
      <c r="D1234" s="13" t="s">
        <v>2882</v>
      </c>
      <c r="F1234" t="s">
        <v>35</v>
      </c>
      <c r="G1234" t="s">
        <v>2883</v>
      </c>
      <c r="H1234" s="14">
        <v>3</v>
      </c>
      <c r="I1234" s="10" t="s">
        <v>28</v>
      </c>
      <c r="J1234" s="1">
        <v>45583</v>
      </c>
      <c r="K1234" s="1">
        <v>45612</v>
      </c>
      <c r="L1234" s="25">
        <f ca="1">CLIENTES[[#This Row],[Fecha Vencimiento]]-$J$6</f>
        <v>17</v>
      </c>
      <c r="N1234" s="1" t="str">
        <f t="shared" ca="1" si="38"/>
        <v>Al dia</v>
      </c>
      <c r="O1234" s="19"/>
      <c r="P1234" s="2"/>
      <c r="Q1234" s="2">
        <f t="shared" si="39"/>
        <v>0</v>
      </c>
    </row>
    <row r="1235" spans="3:17" x14ac:dyDescent="0.25">
      <c r="C1235" s="13" t="s">
        <v>2884</v>
      </c>
      <c r="D1235" s="13" t="s">
        <v>2628</v>
      </c>
      <c r="E1235" s="10" t="s">
        <v>1028</v>
      </c>
      <c r="F1235" t="s">
        <v>35</v>
      </c>
      <c r="G1235" t="s">
        <v>2885</v>
      </c>
      <c r="H1235" s="14">
        <v>1</v>
      </c>
      <c r="I1235" s="10" t="s">
        <v>28</v>
      </c>
      <c r="J1235" s="1">
        <v>45527</v>
      </c>
      <c r="K1235" s="1">
        <v>45558</v>
      </c>
      <c r="L1235" s="25">
        <f ca="1">CLIENTES[[#This Row],[Fecha Vencimiento]]-$J$6</f>
        <v>-37</v>
      </c>
      <c r="N1235" s="1" t="str">
        <f t="shared" ca="1" si="38"/>
        <v>Vencido</v>
      </c>
      <c r="O1235" s="19">
        <v>45527</v>
      </c>
      <c r="P1235" s="2"/>
      <c r="Q1235" s="2">
        <f t="shared" si="39"/>
        <v>-45527</v>
      </c>
    </row>
    <row r="1236" spans="3:17" x14ac:dyDescent="0.25">
      <c r="C1236" s="13" t="s">
        <v>2884</v>
      </c>
      <c r="D1236" s="13" t="s">
        <v>2886</v>
      </c>
      <c r="E1236" s="10">
        <v>1124763968</v>
      </c>
      <c r="F1236" t="s">
        <v>35</v>
      </c>
      <c r="G1236" t="s">
        <v>2887</v>
      </c>
      <c r="H1236" s="14">
        <v>2</v>
      </c>
      <c r="I1236" s="10" t="s">
        <v>28</v>
      </c>
      <c r="J1236" s="1">
        <v>45572</v>
      </c>
      <c r="K1236" s="1">
        <v>45601</v>
      </c>
      <c r="L1236" s="25">
        <f ca="1">CLIENTES[[#This Row],[Fecha Vencimiento]]-$J$6</f>
        <v>6</v>
      </c>
      <c r="N1236" s="1" t="str">
        <f t="shared" ca="1" si="38"/>
        <v>Al dia</v>
      </c>
      <c r="O1236" s="19"/>
      <c r="P1236" s="2"/>
      <c r="Q1236" s="2">
        <f t="shared" si="39"/>
        <v>0</v>
      </c>
    </row>
    <row r="1237" spans="3:17" x14ac:dyDescent="0.25">
      <c r="C1237" s="13" t="s">
        <v>2884</v>
      </c>
      <c r="D1237" s="13" t="s">
        <v>2888</v>
      </c>
      <c r="F1237" t="s">
        <v>35</v>
      </c>
      <c r="G1237" t="s">
        <v>2889</v>
      </c>
      <c r="H1237" s="14">
        <v>1</v>
      </c>
      <c r="I1237" s="10" t="s">
        <v>28</v>
      </c>
      <c r="J1237" s="1">
        <v>45549</v>
      </c>
      <c r="K1237" s="1">
        <v>45579</v>
      </c>
      <c r="L1237" s="25">
        <f ca="1">CLIENTES[[#This Row],[Fecha Vencimiento]]-$J$6</f>
        <v>-16</v>
      </c>
      <c r="N1237" s="1" t="str">
        <f t="shared" ca="1" si="38"/>
        <v>Vencido</v>
      </c>
      <c r="O1237" s="19">
        <v>45549</v>
      </c>
      <c r="P1237" s="2"/>
      <c r="Q1237" s="2">
        <f t="shared" si="39"/>
        <v>-45549</v>
      </c>
    </row>
    <row r="1238" spans="3:17" x14ac:dyDescent="0.25">
      <c r="C1238" s="13" t="s">
        <v>2890</v>
      </c>
      <c r="D1238" s="13" t="s">
        <v>1555</v>
      </c>
      <c r="E1238" s="10">
        <v>1164394877</v>
      </c>
      <c r="F1238" t="s">
        <v>35</v>
      </c>
      <c r="G1238" t="s">
        <v>2891</v>
      </c>
      <c r="H1238" s="14">
        <v>1</v>
      </c>
      <c r="I1238" s="10" t="s">
        <v>28</v>
      </c>
      <c r="J1238" s="1">
        <v>45580</v>
      </c>
      <c r="K1238" s="1">
        <v>45620</v>
      </c>
      <c r="L1238" s="25">
        <f ca="1">CLIENTES[[#This Row],[Fecha Vencimiento]]-$J$6</f>
        <v>25</v>
      </c>
      <c r="N1238" s="1" t="str">
        <f t="shared" ca="1" si="38"/>
        <v>Al dia</v>
      </c>
      <c r="O1238" s="19">
        <v>45559</v>
      </c>
      <c r="P1238" s="2"/>
      <c r="Q1238" s="2">
        <f t="shared" si="39"/>
        <v>-45559</v>
      </c>
    </row>
    <row r="1239" spans="3:17" x14ac:dyDescent="0.25">
      <c r="C1239" s="13" t="s">
        <v>2892</v>
      </c>
      <c r="D1239" s="13" t="s">
        <v>2893</v>
      </c>
      <c r="F1239" t="s">
        <v>35</v>
      </c>
      <c r="G1239" t="s">
        <v>2894</v>
      </c>
      <c r="I1239" s="10" t="s">
        <v>28</v>
      </c>
      <c r="J1239" s="1">
        <v>45454</v>
      </c>
      <c r="K1239" s="1">
        <v>45484</v>
      </c>
      <c r="L1239" s="25">
        <f ca="1">CLIENTES[[#This Row],[Fecha Vencimiento]]-$J$6</f>
        <v>-111</v>
      </c>
      <c r="N1239" s="1" t="str">
        <f t="shared" ca="1" si="38"/>
        <v>Vencido</v>
      </c>
      <c r="O1239" s="19"/>
      <c r="P1239" s="2"/>
      <c r="Q1239" s="2">
        <f t="shared" si="39"/>
        <v>0</v>
      </c>
    </row>
    <row r="1240" spans="3:17" x14ac:dyDescent="0.25">
      <c r="C1240" s="13" t="s">
        <v>2892</v>
      </c>
      <c r="D1240" s="13" t="s">
        <v>2895</v>
      </c>
      <c r="E1240" s="10">
        <v>1169727260</v>
      </c>
      <c r="F1240" t="s">
        <v>35</v>
      </c>
      <c r="G1240" t="s">
        <v>2896</v>
      </c>
      <c r="H1240" s="14">
        <v>2</v>
      </c>
      <c r="I1240" s="10" t="s">
        <v>28</v>
      </c>
      <c r="J1240" s="1">
        <v>45584</v>
      </c>
      <c r="K1240" s="1">
        <v>45608</v>
      </c>
      <c r="L1240" s="25">
        <f ca="1">CLIENTES[[#This Row],[Fecha Vencimiento]]-$J$6</f>
        <v>13</v>
      </c>
      <c r="N1240" s="1" t="str">
        <f t="shared" ca="1" si="38"/>
        <v>Al dia</v>
      </c>
      <c r="O1240" s="19">
        <v>45547</v>
      </c>
      <c r="P1240" s="2"/>
      <c r="Q1240" s="2">
        <f t="shared" si="39"/>
        <v>-45547</v>
      </c>
    </row>
    <row r="1241" spans="3:17" x14ac:dyDescent="0.25">
      <c r="C1241" s="13" t="s">
        <v>2897</v>
      </c>
      <c r="D1241" s="13" t="s">
        <v>2898</v>
      </c>
      <c r="E1241" s="10">
        <v>1132767930</v>
      </c>
      <c r="F1241" t="s">
        <v>35</v>
      </c>
      <c r="G1241" t="s">
        <v>2899</v>
      </c>
      <c r="H1241" s="14">
        <v>4</v>
      </c>
      <c r="I1241" s="10" t="s">
        <v>28</v>
      </c>
      <c r="J1241" s="1">
        <v>45588</v>
      </c>
      <c r="K1241" s="1">
        <v>45620</v>
      </c>
      <c r="L1241" s="25">
        <f ca="1">CLIENTES[[#This Row],[Fecha Vencimiento]]-$J$6</f>
        <v>25</v>
      </c>
      <c r="N1241" s="1" t="str">
        <f t="shared" ca="1" si="38"/>
        <v>Al dia</v>
      </c>
      <c r="O1241" s="19"/>
      <c r="P1241" s="2"/>
      <c r="Q1241" s="2">
        <f t="shared" si="39"/>
        <v>0</v>
      </c>
    </row>
    <row r="1242" spans="3:17" x14ac:dyDescent="0.25">
      <c r="C1242" t="s">
        <v>2900</v>
      </c>
      <c r="D1242" t="s">
        <v>2901</v>
      </c>
      <c r="E1242" s="10" t="s">
        <v>2931</v>
      </c>
      <c r="F1242" t="s">
        <v>35</v>
      </c>
      <c r="G1242" t="s">
        <v>2902</v>
      </c>
      <c r="H1242" s="14">
        <v>2</v>
      </c>
      <c r="I1242" s="10" t="s">
        <v>28</v>
      </c>
      <c r="J1242" s="1">
        <v>45588</v>
      </c>
      <c r="K1242" s="1">
        <v>45615</v>
      </c>
      <c r="L1242" s="25">
        <f ca="1">CLIENTES[[#This Row],[Fecha Vencimiento]]-$J$6</f>
        <v>20</v>
      </c>
      <c r="N1242" s="1" t="str">
        <f t="shared" ca="1" si="38"/>
        <v>Al dia</v>
      </c>
      <c r="O1242" s="19">
        <v>45554</v>
      </c>
      <c r="P1242" s="2"/>
      <c r="Q1242" s="2">
        <f t="shared" si="39"/>
        <v>-45554</v>
      </c>
    </row>
    <row r="1243" spans="3:17" x14ac:dyDescent="0.25">
      <c r="C1243" s="13" t="s">
        <v>2903</v>
      </c>
      <c r="D1243" s="13" t="s">
        <v>2904</v>
      </c>
      <c r="F1243" t="s">
        <v>35</v>
      </c>
      <c r="G1243" t="s">
        <v>2905</v>
      </c>
      <c r="H1243" s="14">
        <v>5</v>
      </c>
      <c r="I1243" s="10" t="s">
        <v>28</v>
      </c>
      <c r="J1243" s="1">
        <v>45530</v>
      </c>
      <c r="K1243" s="1">
        <v>45557</v>
      </c>
      <c r="L1243" s="25">
        <f ca="1">CLIENTES[[#This Row],[Fecha Vencimiento]]-$J$6</f>
        <v>-38</v>
      </c>
      <c r="N1243" s="1" t="str">
        <f t="shared" ca="1" si="38"/>
        <v>Vencido</v>
      </c>
      <c r="O1243" s="19"/>
      <c r="P1243" s="2"/>
      <c r="Q1243" s="2">
        <f t="shared" si="39"/>
        <v>0</v>
      </c>
    </row>
    <row r="1244" spans="3:17" x14ac:dyDescent="0.25">
      <c r="C1244" s="13" t="s">
        <v>2906</v>
      </c>
      <c r="D1244" s="13" t="s">
        <v>172</v>
      </c>
      <c r="E1244" s="10">
        <v>1121613121</v>
      </c>
      <c r="F1244" t="s">
        <v>35</v>
      </c>
      <c r="G1244" t="s">
        <v>2907</v>
      </c>
      <c r="H1244" s="14">
        <v>2</v>
      </c>
      <c r="I1244" s="10" t="s">
        <v>28</v>
      </c>
      <c r="J1244" s="1">
        <v>45595</v>
      </c>
      <c r="K1244" s="1">
        <v>45623</v>
      </c>
      <c r="L1244" s="25">
        <f ca="1">CLIENTES[[#This Row],[Fecha Vencimiento]]-$J$6</f>
        <v>28</v>
      </c>
      <c r="N1244" s="1" t="str">
        <f t="shared" ca="1" si="38"/>
        <v>Al dia</v>
      </c>
      <c r="O1244" s="19">
        <v>45562</v>
      </c>
      <c r="P1244" s="2"/>
      <c r="Q1244" s="2">
        <f t="shared" si="39"/>
        <v>-45562</v>
      </c>
    </row>
    <row r="1245" spans="3:17" x14ac:dyDescent="0.25">
      <c r="C1245" s="13" t="s">
        <v>2908</v>
      </c>
      <c r="D1245" s="13" t="s">
        <v>2909</v>
      </c>
      <c r="F1245" t="s">
        <v>35</v>
      </c>
      <c r="G1245" t="s">
        <v>2910</v>
      </c>
      <c r="I1245" s="10" t="s">
        <v>28</v>
      </c>
      <c r="J1245" s="1">
        <v>45448</v>
      </c>
      <c r="K1245" s="1">
        <v>45478</v>
      </c>
      <c r="L1245" s="25">
        <f ca="1">CLIENTES[[#This Row],[Fecha Vencimiento]]-$J$6</f>
        <v>-117</v>
      </c>
      <c r="N1245" s="1" t="str">
        <f t="shared" ca="1" si="38"/>
        <v>Vencido</v>
      </c>
      <c r="O1245" s="19"/>
      <c r="P1245" s="2"/>
      <c r="Q1245" s="2">
        <f t="shared" si="39"/>
        <v>0</v>
      </c>
    </row>
    <row r="1246" spans="3:17" x14ac:dyDescent="0.25">
      <c r="C1246" s="13" t="s">
        <v>2911</v>
      </c>
      <c r="D1246" s="13" t="s">
        <v>2912</v>
      </c>
      <c r="E1246" s="10">
        <v>1139392855</v>
      </c>
      <c r="F1246" t="s">
        <v>35</v>
      </c>
      <c r="G1246" t="s">
        <v>2913</v>
      </c>
      <c r="H1246" s="14">
        <v>6</v>
      </c>
      <c r="I1246" s="10" t="s">
        <v>28</v>
      </c>
      <c r="J1246" s="1">
        <v>45587</v>
      </c>
      <c r="K1246" s="1">
        <v>45618</v>
      </c>
      <c r="L1246" s="25">
        <f ca="1">CLIENTES[[#This Row],[Fecha Vencimiento]]-$J$6</f>
        <v>23</v>
      </c>
      <c r="N1246" s="1" t="str">
        <f t="shared" ca="1" si="38"/>
        <v>Al dia</v>
      </c>
      <c r="O1246" s="19"/>
      <c r="P1246" s="2"/>
      <c r="Q1246" s="2">
        <f t="shared" si="39"/>
        <v>0</v>
      </c>
    </row>
    <row r="1247" spans="3:17" x14ac:dyDescent="0.25">
      <c r="C1247" s="13" t="s">
        <v>2914</v>
      </c>
      <c r="D1247" s="13" t="s">
        <v>995</v>
      </c>
      <c r="E1247" s="10">
        <v>1134116439</v>
      </c>
      <c r="F1247" t="s">
        <v>35</v>
      </c>
      <c r="G1247" t="s">
        <v>2915</v>
      </c>
      <c r="H1247" s="14">
        <v>5</v>
      </c>
      <c r="I1247" s="10" t="s">
        <v>28</v>
      </c>
      <c r="J1247" s="1">
        <v>45565</v>
      </c>
      <c r="K1247" s="1">
        <v>45595</v>
      </c>
      <c r="L1247" s="25">
        <f ca="1">CLIENTES[[#This Row],[Fecha Vencimiento]]-$J$6</f>
        <v>0</v>
      </c>
      <c r="N1247" s="1" t="str">
        <f t="shared" ca="1" si="38"/>
        <v>Vence hoy</v>
      </c>
      <c r="O1247" s="19"/>
      <c r="P1247" s="2"/>
      <c r="Q1247" s="2">
        <f t="shared" si="39"/>
        <v>0</v>
      </c>
    </row>
    <row r="1248" spans="3:17" x14ac:dyDescent="0.25">
      <c r="C1248" s="13" t="s">
        <v>2916</v>
      </c>
      <c r="D1248" s="13" t="s">
        <v>988</v>
      </c>
      <c r="E1248" s="10">
        <v>1157597671</v>
      </c>
      <c r="F1248" t="s">
        <v>35</v>
      </c>
      <c r="G1248" t="s">
        <v>2917</v>
      </c>
      <c r="H1248" s="14">
        <v>2</v>
      </c>
      <c r="I1248" s="10" t="s">
        <v>28</v>
      </c>
      <c r="J1248" s="1">
        <v>45560</v>
      </c>
      <c r="K1248" s="1">
        <v>45599</v>
      </c>
      <c r="L1248" s="25">
        <f ca="1">CLIENTES[[#This Row],[Fecha Vencimiento]]-$J$6</f>
        <v>4</v>
      </c>
      <c r="N1248" s="1" t="str">
        <f t="shared" ca="1" si="38"/>
        <v>Al dia</v>
      </c>
      <c r="O1248" s="19">
        <v>45538</v>
      </c>
      <c r="P1248" s="2"/>
      <c r="Q1248" s="2">
        <f t="shared" si="39"/>
        <v>-45538</v>
      </c>
    </row>
    <row r="1249" spans="3:17" x14ac:dyDescent="0.25">
      <c r="C1249" s="13" t="s">
        <v>2916</v>
      </c>
      <c r="D1249" s="13" t="s">
        <v>2677</v>
      </c>
      <c r="E1249" s="10">
        <v>1176411979</v>
      </c>
      <c r="F1249" t="s">
        <v>35</v>
      </c>
      <c r="G1249" t="s">
        <v>2918</v>
      </c>
      <c r="H1249" s="14">
        <v>1</v>
      </c>
      <c r="I1249" s="10" t="s">
        <v>28</v>
      </c>
      <c r="J1249" s="1">
        <v>45548</v>
      </c>
      <c r="K1249" s="1">
        <v>45578</v>
      </c>
      <c r="L1249" s="25">
        <f ca="1">CLIENTES[[#This Row],[Fecha Vencimiento]]-$J$6</f>
        <v>-17</v>
      </c>
      <c r="N1249" s="1" t="str">
        <f t="shared" ca="1" si="38"/>
        <v>Vencido</v>
      </c>
      <c r="O1249" s="19">
        <v>45548</v>
      </c>
      <c r="P1249" s="2"/>
      <c r="Q1249" s="2">
        <f t="shared" si="39"/>
        <v>-45548</v>
      </c>
    </row>
    <row r="1250" spans="3:17" x14ac:dyDescent="0.25">
      <c r="C1250" s="13" t="s">
        <v>2916</v>
      </c>
      <c r="D1250" s="13" t="s">
        <v>645</v>
      </c>
      <c r="F1250" t="s">
        <v>35</v>
      </c>
      <c r="G1250" t="s">
        <v>2919</v>
      </c>
      <c r="H1250" s="14">
        <v>2</v>
      </c>
      <c r="I1250" s="10" t="s">
        <v>28</v>
      </c>
      <c r="J1250" s="1">
        <v>45560</v>
      </c>
      <c r="K1250" s="1">
        <v>45599</v>
      </c>
      <c r="L1250" s="25">
        <f ca="1">CLIENTES[[#This Row],[Fecha Vencimiento]]-$J$6</f>
        <v>4</v>
      </c>
      <c r="N1250" s="1" t="str">
        <f t="shared" ca="1" si="38"/>
        <v>Al dia</v>
      </c>
      <c r="O1250" s="19">
        <v>45568</v>
      </c>
      <c r="P1250" s="2"/>
      <c r="Q1250" s="2">
        <f t="shared" si="39"/>
        <v>-45568</v>
      </c>
    </row>
    <row r="1251" spans="3:17" x14ac:dyDescent="0.25">
      <c r="C1251" s="13" t="s">
        <v>2916</v>
      </c>
      <c r="D1251" s="13" t="s">
        <v>988</v>
      </c>
      <c r="F1251" t="s">
        <v>35</v>
      </c>
      <c r="G1251" t="s">
        <v>2920</v>
      </c>
      <c r="H1251" s="14">
        <v>1</v>
      </c>
      <c r="I1251" s="10" t="s">
        <v>28</v>
      </c>
      <c r="J1251" s="1">
        <v>45526</v>
      </c>
      <c r="K1251" s="1">
        <v>45557</v>
      </c>
      <c r="L1251" s="25">
        <f ca="1">CLIENTES[[#This Row],[Fecha Vencimiento]]-$J$6</f>
        <v>-38</v>
      </c>
      <c r="N1251" s="1" t="str">
        <f t="shared" ca="1" si="38"/>
        <v>Vencido</v>
      </c>
      <c r="O1251" s="19"/>
      <c r="P1251" s="2"/>
      <c r="Q1251" s="2">
        <f t="shared" si="39"/>
        <v>0</v>
      </c>
    </row>
    <row r="1252" spans="3:17" x14ac:dyDescent="0.25">
      <c r="C1252" s="13" t="s">
        <v>2921</v>
      </c>
      <c r="D1252" s="13" t="s">
        <v>2435</v>
      </c>
      <c r="F1252" t="s">
        <v>232</v>
      </c>
      <c r="G1252" t="s">
        <v>2922</v>
      </c>
      <c r="H1252" s="14">
        <v>3</v>
      </c>
      <c r="I1252" s="10" t="s">
        <v>183</v>
      </c>
      <c r="J1252" s="1">
        <v>45570</v>
      </c>
      <c r="K1252" s="1">
        <v>45604</v>
      </c>
      <c r="L1252" s="25">
        <f ca="1">CLIENTES[[#This Row],[Fecha Vencimiento]]-$J$6</f>
        <v>9</v>
      </c>
      <c r="N1252" s="1" t="str">
        <f t="shared" ca="1" si="38"/>
        <v>Al dia</v>
      </c>
      <c r="O1252" s="19">
        <v>45513</v>
      </c>
      <c r="P1252" s="2"/>
      <c r="Q1252" s="2">
        <f t="shared" si="39"/>
        <v>-45513</v>
      </c>
    </row>
    <row r="1253" spans="3:17" x14ac:dyDescent="0.25">
      <c r="C1253" s="13" t="s">
        <v>2923</v>
      </c>
      <c r="D1253" s="13" t="s">
        <v>2924</v>
      </c>
      <c r="E1253" s="10">
        <v>1128625128</v>
      </c>
      <c r="F1253" t="s">
        <v>35</v>
      </c>
      <c r="G1253" t="s">
        <v>2925</v>
      </c>
      <c r="H1253" s="14">
        <v>1</v>
      </c>
      <c r="I1253" s="10" t="s">
        <v>28</v>
      </c>
      <c r="J1253" s="1">
        <v>45527</v>
      </c>
      <c r="K1253" s="1">
        <v>45558</v>
      </c>
      <c r="L1253" s="25">
        <f ca="1">CLIENTES[[#This Row],[Fecha Vencimiento]]-$J$6</f>
        <v>-37</v>
      </c>
      <c r="N1253" s="1" t="str">
        <f t="shared" ca="1" si="38"/>
        <v>Vencido</v>
      </c>
      <c r="O1253" s="19">
        <v>45558</v>
      </c>
      <c r="P1253" s="2"/>
      <c r="Q1253" s="2">
        <f t="shared" si="39"/>
        <v>-45558</v>
      </c>
    </row>
    <row r="1254" spans="3:17" x14ac:dyDescent="0.25">
      <c r="C1254" s="13" t="s">
        <v>2923</v>
      </c>
      <c r="D1254" s="13" t="s">
        <v>2926</v>
      </c>
      <c r="E1254" s="10">
        <v>1132101386</v>
      </c>
      <c r="F1254" t="s">
        <v>35</v>
      </c>
      <c r="G1254" t="s">
        <v>2927</v>
      </c>
      <c r="H1254" s="14">
        <v>1</v>
      </c>
      <c r="I1254" s="10" t="s">
        <v>28</v>
      </c>
      <c r="J1254" s="1">
        <v>45545</v>
      </c>
      <c r="K1254" s="1">
        <v>45575</v>
      </c>
      <c r="L1254" s="25">
        <f ca="1">CLIENTES[[#This Row],[Fecha Vencimiento]]-$J$6</f>
        <v>-20</v>
      </c>
      <c r="N1254" s="1" t="str">
        <f t="shared" ca="1" si="38"/>
        <v>Vencido</v>
      </c>
      <c r="O1254" s="19">
        <v>45545</v>
      </c>
      <c r="P1254" s="2"/>
      <c r="Q1254" s="2">
        <f t="shared" si="39"/>
        <v>-45545</v>
      </c>
    </row>
    <row r="1255" spans="3:17" x14ac:dyDescent="0.25">
      <c r="C1255" s="13" t="s">
        <v>2923</v>
      </c>
      <c r="D1255" s="13" t="s">
        <v>2928</v>
      </c>
      <c r="F1255" t="s">
        <v>35</v>
      </c>
      <c r="G1255" t="s">
        <v>2929</v>
      </c>
      <c r="H1255" s="14">
        <v>3</v>
      </c>
      <c r="I1255" s="10" t="s">
        <v>28</v>
      </c>
      <c r="J1255" s="1">
        <v>45577</v>
      </c>
      <c r="K1255" s="1">
        <v>45604</v>
      </c>
      <c r="L1255" s="25">
        <f ca="1">CLIENTES[[#This Row],[Fecha Vencimiento]]-$J$6</f>
        <v>9</v>
      </c>
      <c r="N1255" s="1" t="str">
        <f t="shared" ca="1" si="38"/>
        <v>Al dia</v>
      </c>
      <c r="O1255" s="19"/>
      <c r="P1255" s="2"/>
      <c r="Q1255" s="2">
        <f t="shared" si="39"/>
        <v>0</v>
      </c>
    </row>
    <row r="1256" spans="3:17" x14ac:dyDescent="0.25">
      <c r="C1256" s="13" t="s">
        <v>2923</v>
      </c>
      <c r="D1256" s="13" t="s">
        <v>2930</v>
      </c>
      <c r="E1256" s="10" t="s">
        <v>2931</v>
      </c>
      <c r="F1256" t="s">
        <v>35</v>
      </c>
      <c r="G1256" t="s">
        <v>2932</v>
      </c>
      <c r="I1256" s="10" t="s">
        <v>28</v>
      </c>
      <c r="J1256" s="1">
        <v>45519</v>
      </c>
      <c r="K1256" s="1">
        <v>45550</v>
      </c>
      <c r="L1256" s="25">
        <f ca="1">CLIENTES[[#This Row],[Fecha Vencimiento]]-$J$6</f>
        <v>-45</v>
      </c>
      <c r="N1256" s="1" t="str">
        <f t="shared" ca="1" si="38"/>
        <v>Vencido</v>
      </c>
      <c r="O1256" s="19"/>
      <c r="P1256" s="2"/>
      <c r="Q1256" s="2">
        <f t="shared" si="39"/>
        <v>0</v>
      </c>
    </row>
    <row r="1257" spans="3:17" x14ac:dyDescent="0.25">
      <c r="C1257" s="13" t="s">
        <v>2933</v>
      </c>
      <c r="D1257" s="13" t="s">
        <v>135</v>
      </c>
      <c r="E1257" s="10">
        <v>1126204489</v>
      </c>
      <c r="F1257" t="s">
        <v>35</v>
      </c>
      <c r="G1257" t="s">
        <v>1420</v>
      </c>
      <c r="I1257" s="10" t="s">
        <v>28</v>
      </c>
      <c r="J1257" s="1">
        <v>45476</v>
      </c>
      <c r="K1257" s="1">
        <v>45513</v>
      </c>
      <c r="L1257" s="25">
        <f ca="1">CLIENTES[[#This Row],[Fecha Vencimiento]]-$J$6</f>
        <v>-82</v>
      </c>
      <c r="N1257" s="1" t="str">
        <f t="shared" ca="1" si="38"/>
        <v>Vencido</v>
      </c>
      <c r="O1257" s="19"/>
      <c r="P1257" s="2"/>
      <c r="Q1257" s="2">
        <f t="shared" si="39"/>
        <v>0</v>
      </c>
    </row>
    <row r="1258" spans="3:17" x14ac:dyDescent="0.25">
      <c r="C1258" s="13" t="s">
        <v>2934</v>
      </c>
      <c r="D1258" s="13" t="s">
        <v>2935</v>
      </c>
      <c r="E1258" s="10">
        <v>1168524783</v>
      </c>
      <c r="F1258" t="s">
        <v>35</v>
      </c>
      <c r="G1258" t="s">
        <v>2936</v>
      </c>
      <c r="H1258" s="14">
        <v>5</v>
      </c>
      <c r="I1258" s="10" t="s">
        <v>28</v>
      </c>
      <c r="J1258" s="1">
        <v>45531</v>
      </c>
      <c r="K1258" s="1">
        <v>45571</v>
      </c>
      <c r="L1258" s="25">
        <f ca="1">CLIENTES[[#This Row],[Fecha Vencimiento]]-$J$6</f>
        <v>-24</v>
      </c>
      <c r="N1258" s="1" t="str">
        <f t="shared" ca="1" si="38"/>
        <v>Vencido</v>
      </c>
      <c r="O1258" s="19"/>
      <c r="P1258" s="2"/>
      <c r="Q1258" s="2">
        <f t="shared" si="39"/>
        <v>0</v>
      </c>
    </row>
    <row r="1259" spans="3:17" x14ac:dyDescent="0.25">
      <c r="C1259" s="13" t="s">
        <v>2937</v>
      </c>
      <c r="D1259" s="13" t="s">
        <v>2938</v>
      </c>
      <c r="E1259" s="10">
        <v>1164357366</v>
      </c>
      <c r="F1259" t="s">
        <v>35</v>
      </c>
      <c r="G1259" t="s">
        <v>2939</v>
      </c>
      <c r="H1259" s="14">
        <v>4</v>
      </c>
      <c r="I1259" s="10" t="s">
        <v>28</v>
      </c>
      <c r="J1259" s="1">
        <v>45573</v>
      </c>
      <c r="K1259" s="1">
        <v>45622</v>
      </c>
      <c r="L1259" s="25">
        <f ca="1">CLIENTES[[#This Row],[Fecha Vencimiento]]-$J$6</f>
        <v>27</v>
      </c>
      <c r="N1259" s="1" t="str">
        <f t="shared" ca="1" si="38"/>
        <v>Al dia</v>
      </c>
      <c r="O1259" s="19"/>
      <c r="P1259" s="2"/>
      <c r="Q1259" s="2">
        <f t="shared" si="39"/>
        <v>0</v>
      </c>
    </row>
    <row r="1260" spans="3:17" x14ac:dyDescent="0.25">
      <c r="C1260" s="13" t="s">
        <v>2937</v>
      </c>
      <c r="D1260" s="13" t="s">
        <v>2940</v>
      </c>
      <c r="F1260" t="s">
        <v>35</v>
      </c>
      <c r="G1260" t="s">
        <v>2941</v>
      </c>
      <c r="H1260" s="14">
        <v>4</v>
      </c>
      <c r="I1260" s="10" t="s">
        <v>28</v>
      </c>
      <c r="J1260" s="1">
        <v>45591</v>
      </c>
      <c r="K1260" s="1">
        <v>45622</v>
      </c>
      <c r="L1260" s="25">
        <f ca="1">CLIENTES[[#This Row],[Fecha Vencimiento]]-$J$6</f>
        <v>27</v>
      </c>
      <c r="N1260" s="1" t="str">
        <f t="shared" ca="1" si="38"/>
        <v>Al dia</v>
      </c>
      <c r="O1260" s="19"/>
      <c r="P1260" s="2"/>
      <c r="Q1260" s="2">
        <f t="shared" si="39"/>
        <v>0</v>
      </c>
    </row>
    <row r="1261" spans="3:17" x14ac:dyDescent="0.25">
      <c r="C1261" s="13" t="s">
        <v>2942</v>
      </c>
      <c r="D1261" s="13" t="s">
        <v>2943</v>
      </c>
      <c r="E1261" s="10">
        <v>1156018964</v>
      </c>
      <c r="F1261" t="s">
        <v>232</v>
      </c>
      <c r="G1261" t="s">
        <v>2944</v>
      </c>
      <c r="H1261" s="14">
        <v>3</v>
      </c>
      <c r="I1261" s="10" t="s">
        <v>79</v>
      </c>
      <c r="J1261" s="1">
        <v>45566</v>
      </c>
      <c r="K1261" s="1">
        <v>45595</v>
      </c>
      <c r="L1261" s="25">
        <f ca="1">CLIENTES[[#This Row],[Fecha Vencimiento]]-$J$6</f>
        <v>0</v>
      </c>
      <c r="N1261" s="1" t="str">
        <f t="shared" ca="1" si="38"/>
        <v>Vence hoy</v>
      </c>
      <c r="O1261" s="19"/>
      <c r="P1261" s="2"/>
      <c r="Q1261" s="2">
        <f t="shared" si="39"/>
        <v>0</v>
      </c>
    </row>
    <row r="1262" spans="3:17" x14ac:dyDescent="0.25">
      <c r="C1262" s="13" t="s">
        <v>2945</v>
      </c>
      <c r="D1262" s="13" t="s">
        <v>2946</v>
      </c>
      <c r="E1262" s="10">
        <v>1149152243</v>
      </c>
      <c r="F1262" t="s">
        <v>35</v>
      </c>
      <c r="G1262" t="s">
        <v>2947</v>
      </c>
      <c r="H1262" s="14">
        <v>4</v>
      </c>
      <c r="I1262" s="10" t="s">
        <v>28</v>
      </c>
      <c r="J1262" s="1">
        <v>45594</v>
      </c>
      <c r="K1262" s="1">
        <v>45621</v>
      </c>
      <c r="L1262" s="25">
        <f ca="1">CLIENTES[[#This Row],[Fecha Vencimiento]]-$J$6</f>
        <v>26</v>
      </c>
      <c r="N1262" s="1" t="str">
        <f t="shared" ca="1" si="38"/>
        <v>Al dia</v>
      </c>
      <c r="O1262" s="19"/>
      <c r="P1262" s="2"/>
      <c r="Q1262" s="2">
        <f t="shared" si="39"/>
        <v>0</v>
      </c>
    </row>
    <row r="1263" spans="3:17" x14ac:dyDescent="0.25">
      <c r="I1263" s="10"/>
      <c r="J1263" s="1"/>
      <c r="K1263" s="1"/>
      <c r="L1263" s="26">
        <f ca="1">CLIENTES[[#This Row],[Fecha Vencimiento]]-$J$6</f>
        <v>-45595</v>
      </c>
      <c r="N1263" s="1"/>
      <c r="O1263" s="19"/>
      <c r="P1263" s="2"/>
      <c r="Q1263" s="2">
        <f t="shared" si="39"/>
        <v>0</v>
      </c>
    </row>
    <row r="1264" spans="3:17" x14ac:dyDescent="0.25">
      <c r="C1264" t="s">
        <v>2587</v>
      </c>
      <c r="D1264" t="s">
        <v>1541</v>
      </c>
      <c r="E1264" s="10">
        <v>1128758186</v>
      </c>
      <c r="F1264" t="s">
        <v>35</v>
      </c>
      <c r="G1264" t="s">
        <v>2948</v>
      </c>
      <c r="H1264" s="14">
        <v>1</v>
      </c>
      <c r="I1264" s="10" t="s">
        <v>28</v>
      </c>
      <c r="J1264" s="1">
        <v>45572</v>
      </c>
      <c r="K1264" s="1">
        <v>45603</v>
      </c>
      <c r="L1264" s="25">
        <f ca="1">CLIENTES[[#This Row],[Fecha Vencimiento]]-$J$6</f>
        <v>8</v>
      </c>
      <c r="N1264" s="1" t="str">
        <f t="shared" ref="N1264:N1295" ca="1" si="40">IF(L1264&lt;0,"Vencido",IF(L1264=0,"Vence hoy",IF(L1264&lt;4,"Por vencer","Al dia")))</f>
        <v>Al dia</v>
      </c>
      <c r="O1264" s="19"/>
      <c r="P1264" s="2"/>
      <c r="Q1264" s="2">
        <f t="shared" si="39"/>
        <v>0</v>
      </c>
    </row>
    <row r="1265" spans="3:17" x14ac:dyDescent="0.25">
      <c r="C1265" t="s">
        <v>2625</v>
      </c>
      <c r="D1265" t="s">
        <v>751</v>
      </c>
      <c r="E1265" s="10">
        <v>1136746402</v>
      </c>
      <c r="F1265" t="s">
        <v>159</v>
      </c>
      <c r="G1265" t="s">
        <v>2949</v>
      </c>
      <c r="H1265" s="14">
        <v>1</v>
      </c>
      <c r="I1265" s="10" t="s">
        <v>183</v>
      </c>
      <c r="J1265" s="1">
        <v>45576</v>
      </c>
      <c r="K1265" s="1">
        <v>45607</v>
      </c>
      <c r="L1265" s="26">
        <f ca="1">CLIENTES[[#This Row],[Fecha Vencimiento]]-$J$6</f>
        <v>12</v>
      </c>
      <c r="N1265" s="1" t="str">
        <f t="shared" ca="1" si="40"/>
        <v>Al dia</v>
      </c>
      <c r="O1265" s="19"/>
      <c r="P1265" s="2"/>
      <c r="Q1265" s="2">
        <f t="shared" si="39"/>
        <v>0</v>
      </c>
    </row>
    <row r="1266" spans="3:17" x14ac:dyDescent="0.25">
      <c r="C1266" t="s">
        <v>2950</v>
      </c>
      <c r="D1266" t="s">
        <v>2951</v>
      </c>
      <c r="E1266" s="10">
        <v>1123228222</v>
      </c>
      <c r="F1266" t="s">
        <v>35</v>
      </c>
      <c r="G1266" t="s">
        <v>2952</v>
      </c>
      <c r="H1266" s="14">
        <v>1</v>
      </c>
      <c r="I1266" s="10" t="s">
        <v>28</v>
      </c>
      <c r="J1266" s="1">
        <v>45576</v>
      </c>
      <c r="K1266" s="1">
        <v>45576</v>
      </c>
      <c r="L1266" s="26">
        <f ca="1">CLIENTES[[#This Row],[Fecha Vencimiento]]-$J$6</f>
        <v>-19</v>
      </c>
      <c r="N1266" s="1" t="str">
        <f t="shared" ca="1" si="40"/>
        <v>Vencido</v>
      </c>
      <c r="O1266" s="19"/>
      <c r="P1266" s="2"/>
      <c r="Q1266" s="2">
        <f t="shared" si="39"/>
        <v>0</v>
      </c>
    </row>
    <row r="1267" spans="3:17" x14ac:dyDescent="0.25">
      <c r="C1267" t="s">
        <v>1647</v>
      </c>
      <c r="D1267" t="s">
        <v>2953</v>
      </c>
      <c r="E1267" s="10">
        <v>1122682557</v>
      </c>
      <c r="F1267" t="s">
        <v>35</v>
      </c>
      <c r="G1267" t="s">
        <v>2954</v>
      </c>
      <c r="H1267" s="14">
        <v>1</v>
      </c>
      <c r="I1267" s="10" t="s">
        <v>28</v>
      </c>
      <c r="J1267" s="1">
        <v>45576</v>
      </c>
      <c r="K1267" s="1">
        <v>45607</v>
      </c>
      <c r="L1267" s="25">
        <f ca="1">CLIENTES[[#This Row],[Fecha Vencimiento]]-$J$6</f>
        <v>12</v>
      </c>
      <c r="N1267" s="1" t="str">
        <f t="shared" ca="1" si="40"/>
        <v>Al dia</v>
      </c>
      <c r="O1267" s="19"/>
      <c r="P1267" s="2"/>
      <c r="Q1267" s="2">
        <f t="shared" si="39"/>
        <v>0</v>
      </c>
    </row>
    <row r="1268" spans="3:17" x14ac:dyDescent="0.25">
      <c r="C1268" t="s">
        <v>2955</v>
      </c>
      <c r="D1268" t="s">
        <v>645</v>
      </c>
      <c r="E1268" s="10">
        <v>1149272879</v>
      </c>
      <c r="F1268" t="s">
        <v>35</v>
      </c>
      <c r="G1268" t="s">
        <v>2956</v>
      </c>
      <c r="H1268" s="14">
        <v>1</v>
      </c>
      <c r="I1268" s="10" t="s">
        <v>28</v>
      </c>
      <c r="J1268" s="1">
        <v>45574</v>
      </c>
      <c r="K1268" s="1">
        <v>45605</v>
      </c>
      <c r="L1268" s="25">
        <f ca="1">CLIENTES[[#This Row],[Fecha Vencimiento]]-$J$6</f>
        <v>10</v>
      </c>
      <c r="N1268" s="1" t="str">
        <f t="shared" ca="1" si="40"/>
        <v>Al dia</v>
      </c>
      <c r="O1268" s="19"/>
      <c r="P1268" s="2"/>
      <c r="Q1268" s="2">
        <f t="shared" si="39"/>
        <v>0</v>
      </c>
    </row>
    <row r="1269" spans="3:17" x14ac:dyDescent="0.25">
      <c r="C1269" t="s">
        <v>857</v>
      </c>
      <c r="D1269" s="12" t="s">
        <v>1834</v>
      </c>
      <c r="E1269" s="10">
        <v>1160049704</v>
      </c>
      <c r="F1269" t="s">
        <v>35</v>
      </c>
      <c r="G1269" t="s">
        <v>2957</v>
      </c>
      <c r="H1269" s="14">
        <v>1</v>
      </c>
      <c r="I1269" s="10" t="s">
        <v>28</v>
      </c>
      <c r="J1269" s="1">
        <v>45576</v>
      </c>
      <c r="K1269" s="1">
        <v>45607</v>
      </c>
      <c r="L1269" s="25">
        <f ca="1">CLIENTES[[#This Row],[Fecha Vencimiento]]-$J$6</f>
        <v>12</v>
      </c>
      <c r="N1269" s="1" t="str">
        <f t="shared" ca="1" si="40"/>
        <v>Al dia</v>
      </c>
      <c r="O1269" s="19"/>
      <c r="P1269" s="2"/>
      <c r="Q1269" s="2">
        <f t="shared" si="39"/>
        <v>0</v>
      </c>
    </row>
    <row r="1270" spans="3:17" x14ac:dyDescent="0.25">
      <c r="C1270" t="s">
        <v>2076</v>
      </c>
      <c r="D1270" t="s">
        <v>2958</v>
      </c>
      <c r="E1270" s="10">
        <v>1130554495</v>
      </c>
      <c r="F1270" t="s">
        <v>35</v>
      </c>
      <c r="G1270" t="s">
        <v>2959</v>
      </c>
      <c r="H1270" s="14">
        <v>1</v>
      </c>
      <c r="I1270" s="10" t="s">
        <v>28</v>
      </c>
      <c r="J1270" s="1">
        <v>45576</v>
      </c>
      <c r="K1270" s="1">
        <v>45607</v>
      </c>
      <c r="L1270" s="25">
        <f ca="1">CLIENTES[[#This Row],[Fecha Vencimiento]]-$J$6</f>
        <v>12</v>
      </c>
      <c r="N1270" s="1" t="str">
        <f t="shared" ca="1" si="40"/>
        <v>Al dia</v>
      </c>
      <c r="O1270" s="19"/>
      <c r="P1270" s="2"/>
      <c r="Q1270" s="2">
        <f t="shared" si="39"/>
        <v>0</v>
      </c>
    </row>
    <row r="1271" spans="3:17" x14ac:dyDescent="0.25">
      <c r="C1271" t="s">
        <v>732</v>
      </c>
      <c r="D1271" t="s">
        <v>2960</v>
      </c>
      <c r="E1271" s="10">
        <v>1133865283</v>
      </c>
      <c r="F1271" t="s">
        <v>35</v>
      </c>
      <c r="G1271" t="s">
        <v>2961</v>
      </c>
      <c r="H1271" s="14">
        <v>1</v>
      </c>
      <c r="I1271" s="10" t="s">
        <v>28</v>
      </c>
      <c r="J1271" s="1">
        <v>45575</v>
      </c>
      <c r="K1271" s="1">
        <v>45576</v>
      </c>
      <c r="L1271" s="26">
        <f ca="1">CLIENTES[[#This Row],[Fecha Vencimiento]]-$J$6</f>
        <v>-19</v>
      </c>
      <c r="N1271" s="1" t="str">
        <f t="shared" ca="1" si="40"/>
        <v>Vencido</v>
      </c>
      <c r="O1271" s="19"/>
      <c r="P1271" s="2"/>
      <c r="Q1271" s="2">
        <f t="shared" si="39"/>
        <v>0</v>
      </c>
    </row>
    <row r="1272" spans="3:17" x14ac:dyDescent="0.25">
      <c r="C1272" t="s">
        <v>2962</v>
      </c>
      <c r="D1272" t="s">
        <v>2367</v>
      </c>
      <c r="E1272" s="10">
        <v>1158671732</v>
      </c>
      <c r="F1272" t="s">
        <v>35</v>
      </c>
      <c r="G1272" t="s">
        <v>2963</v>
      </c>
      <c r="H1272" s="14">
        <v>1</v>
      </c>
      <c r="I1272" s="30" t="s">
        <v>28</v>
      </c>
      <c r="J1272" s="1">
        <v>45575</v>
      </c>
      <c r="K1272" s="1">
        <v>45606</v>
      </c>
      <c r="L1272" s="25">
        <f ca="1">CLIENTES[[#This Row],[Fecha Vencimiento]]-$J$6</f>
        <v>11</v>
      </c>
      <c r="N1272" s="1" t="str">
        <f t="shared" ca="1" si="40"/>
        <v>Al dia</v>
      </c>
      <c r="O1272" s="19"/>
      <c r="P1272" s="2"/>
      <c r="Q1272" s="2">
        <f t="shared" si="39"/>
        <v>0</v>
      </c>
    </row>
    <row r="1273" spans="3:17" x14ac:dyDescent="0.25">
      <c r="C1273" t="s">
        <v>1262</v>
      </c>
      <c r="D1273" t="s">
        <v>1297</v>
      </c>
      <c r="E1273" s="10" t="s">
        <v>3116</v>
      </c>
      <c r="F1273" t="s">
        <v>35</v>
      </c>
      <c r="G1273" t="s">
        <v>2964</v>
      </c>
      <c r="H1273" s="14">
        <v>1</v>
      </c>
      <c r="I1273" s="10" t="s">
        <v>28</v>
      </c>
      <c r="J1273" s="1">
        <v>45575</v>
      </c>
      <c r="K1273" s="1">
        <v>45606</v>
      </c>
      <c r="L1273" s="25">
        <f ca="1">CLIENTES[[#This Row],[Fecha Vencimiento]]-$J$6</f>
        <v>11</v>
      </c>
      <c r="N1273" s="1" t="str">
        <f t="shared" ca="1" si="40"/>
        <v>Al dia</v>
      </c>
      <c r="O1273" s="19"/>
      <c r="P1273" s="2"/>
      <c r="Q1273" s="2">
        <f t="shared" si="39"/>
        <v>0</v>
      </c>
    </row>
    <row r="1274" spans="3:17" x14ac:dyDescent="0.25">
      <c r="C1274" t="s">
        <v>2965</v>
      </c>
      <c r="D1274" t="s">
        <v>2966</v>
      </c>
      <c r="E1274" s="10">
        <v>1164863232</v>
      </c>
      <c r="F1274" t="s">
        <v>35</v>
      </c>
      <c r="G1274" t="s">
        <v>2967</v>
      </c>
      <c r="H1274" s="14">
        <v>5</v>
      </c>
      <c r="I1274" s="10" t="s">
        <v>28</v>
      </c>
      <c r="J1274" s="1">
        <v>45577</v>
      </c>
      <c r="K1274" s="1">
        <v>45608</v>
      </c>
      <c r="L1274" s="25">
        <f ca="1">CLIENTES[[#This Row],[Fecha Vencimiento]]-$J$6</f>
        <v>13</v>
      </c>
      <c r="N1274" s="1" t="str">
        <f t="shared" ca="1" si="40"/>
        <v>Al dia</v>
      </c>
      <c r="O1274" s="19"/>
      <c r="P1274" s="2"/>
      <c r="Q1274" s="2">
        <f t="shared" si="39"/>
        <v>0</v>
      </c>
    </row>
    <row r="1275" spans="3:17" x14ac:dyDescent="0.25">
      <c r="C1275" t="s">
        <v>2070</v>
      </c>
      <c r="D1275" t="s">
        <v>2074</v>
      </c>
      <c r="E1275" s="10">
        <v>1127979613</v>
      </c>
      <c r="F1275" t="s">
        <v>35</v>
      </c>
      <c r="G1275" t="s">
        <v>2968</v>
      </c>
      <c r="H1275" s="14">
        <v>1</v>
      </c>
      <c r="I1275" s="10" t="s">
        <v>28</v>
      </c>
      <c r="J1275" s="1">
        <v>45574</v>
      </c>
      <c r="K1275" s="1">
        <v>45605</v>
      </c>
      <c r="L1275" s="25">
        <f ca="1">CLIENTES[[#This Row],[Fecha Vencimiento]]-$J$6</f>
        <v>10</v>
      </c>
      <c r="N1275" s="1" t="str">
        <f t="shared" ca="1" si="40"/>
        <v>Al dia</v>
      </c>
      <c r="O1275" s="19"/>
      <c r="P1275" s="2"/>
      <c r="Q1275" s="2">
        <f t="shared" si="39"/>
        <v>0</v>
      </c>
    </row>
    <row r="1276" spans="3:17" x14ac:dyDescent="0.25">
      <c r="C1276" t="s">
        <v>1483</v>
      </c>
      <c r="D1276" t="s">
        <v>2969</v>
      </c>
      <c r="E1276" s="10" t="s">
        <v>2931</v>
      </c>
      <c r="F1276" t="s">
        <v>35</v>
      </c>
      <c r="G1276" t="s">
        <v>2970</v>
      </c>
      <c r="H1276" s="14">
        <v>1</v>
      </c>
      <c r="I1276" s="10" t="s">
        <v>28</v>
      </c>
      <c r="J1276" s="1">
        <v>45574</v>
      </c>
      <c r="K1276" s="1">
        <v>45605</v>
      </c>
      <c r="L1276" s="25">
        <f ca="1">CLIENTES[[#This Row],[Fecha Vencimiento]]-$J$6</f>
        <v>10</v>
      </c>
      <c r="N1276" s="1" t="str">
        <f t="shared" ca="1" si="40"/>
        <v>Al dia</v>
      </c>
      <c r="O1276" s="19"/>
      <c r="P1276" s="2"/>
      <c r="Q1276" s="2">
        <f t="shared" si="39"/>
        <v>0</v>
      </c>
    </row>
    <row r="1277" spans="3:17" x14ac:dyDescent="0.25">
      <c r="C1277" t="s">
        <v>2971</v>
      </c>
      <c r="D1277" t="s">
        <v>2972</v>
      </c>
      <c r="F1277" t="s">
        <v>35</v>
      </c>
      <c r="G1277" t="s">
        <v>2973</v>
      </c>
      <c r="H1277" s="14">
        <v>2</v>
      </c>
      <c r="I1277" s="10" t="s">
        <v>28</v>
      </c>
      <c r="J1277" s="1">
        <v>45576</v>
      </c>
      <c r="K1277" s="1">
        <v>45605</v>
      </c>
      <c r="L1277" s="25">
        <f ca="1">CLIENTES[[#This Row],[Fecha Vencimiento]]-$J$6</f>
        <v>10</v>
      </c>
      <c r="N1277" s="1" t="str">
        <f t="shared" ca="1" si="40"/>
        <v>Al dia</v>
      </c>
      <c r="O1277" s="19"/>
      <c r="P1277" s="2"/>
      <c r="Q1277" s="2">
        <f t="shared" si="39"/>
        <v>0</v>
      </c>
    </row>
    <row r="1278" spans="3:17" x14ac:dyDescent="0.25">
      <c r="C1278" t="s">
        <v>2974</v>
      </c>
      <c r="D1278" t="s">
        <v>2975</v>
      </c>
      <c r="E1278" s="10">
        <v>1162028137</v>
      </c>
      <c r="F1278" t="s">
        <v>35</v>
      </c>
      <c r="G1278" t="s">
        <v>2976</v>
      </c>
      <c r="H1278" s="14">
        <v>1</v>
      </c>
      <c r="I1278" s="10" t="s">
        <v>28</v>
      </c>
      <c r="J1278" s="31">
        <v>45574</v>
      </c>
      <c r="K1278" s="31">
        <v>45605</v>
      </c>
      <c r="L1278" s="25">
        <f ca="1">CLIENTES[[#This Row],[Fecha Vencimiento]]-$J$6</f>
        <v>10</v>
      </c>
      <c r="N1278" s="1" t="str">
        <f t="shared" ca="1" si="40"/>
        <v>Al dia</v>
      </c>
      <c r="O1278" s="19"/>
      <c r="P1278" s="2"/>
      <c r="Q1278" s="2">
        <f t="shared" si="39"/>
        <v>0</v>
      </c>
    </row>
    <row r="1279" spans="3:17" x14ac:dyDescent="0.25">
      <c r="C1279" t="s">
        <v>137</v>
      </c>
      <c r="D1279" t="s">
        <v>426</v>
      </c>
      <c r="E1279" s="10">
        <v>1166603005</v>
      </c>
      <c r="F1279" t="s">
        <v>35</v>
      </c>
      <c r="G1279" t="s">
        <v>2977</v>
      </c>
      <c r="H1279" s="14">
        <v>1</v>
      </c>
      <c r="I1279" s="10" t="s">
        <v>28</v>
      </c>
      <c r="J1279" s="1">
        <v>45574</v>
      </c>
      <c r="K1279" s="1">
        <v>45605</v>
      </c>
      <c r="L1279" s="25">
        <f ca="1">CLIENTES[[#This Row],[Fecha Vencimiento]]-$J$6</f>
        <v>10</v>
      </c>
      <c r="N1279" s="1" t="str">
        <f t="shared" ca="1" si="40"/>
        <v>Al dia</v>
      </c>
      <c r="O1279" s="19"/>
      <c r="P1279" s="2"/>
      <c r="Q1279" s="2">
        <f t="shared" si="39"/>
        <v>0</v>
      </c>
    </row>
    <row r="1280" spans="3:17" x14ac:dyDescent="0.25">
      <c r="C1280" t="s">
        <v>601</v>
      </c>
      <c r="D1280" t="s">
        <v>2978</v>
      </c>
      <c r="F1280" t="s">
        <v>35</v>
      </c>
      <c r="G1280" t="s">
        <v>2979</v>
      </c>
      <c r="H1280" s="14">
        <v>1</v>
      </c>
      <c r="I1280" s="10" t="s">
        <v>28</v>
      </c>
      <c r="J1280" s="1">
        <v>45574</v>
      </c>
      <c r="K1280" s="1">
        <v>45605</v>
      </c>
      <c r="L1280" s="25">
        <f ca="1">CLIENTES[[#This Row],[Fecha Vencimiento]]-$J$6</f>
        <v>10</v>
      </c>
      <c r="N1280" s="1" t="str">
        <f t="shared" ca="1" si="40"/>
        <v>Al dia</v>
      </c>
      <c r="O1280" s="19"/>
      <c r="P1280" s="2"/>
      <c r="Q1280" s="2">
        <f t="shared" si="39"/>
        <v>0</v>
      </c>
    </row>
    <row r="1281" spans="3:17" x14ac:dyDescent="0.25">
      <c r="C1281" t="s">
        <v>1825</v>
      </c>
      <c r="D1281" t="s">
        <v>2980</v>
      </c>
      <c r="F1281" t="s">
        <v>35</v>
      </c>
      <c r="G1281" t="s">
        <v>2981</v>
      </c>
      <c r="H1281" s="14">
        <v>1</v>
      </c>
      <c r="I1281" s="10" t="s">
        <v>28</v>
      </c>
      <c r="J1281" s="1">
        <v>45574</v>
      </c>
      <c r="K1281" s="1">
        <v>45605</v>
      </c>
      <c r="L1281" s="25">
        <f ca="1">CLIENTES[[#This Row],[Fecha Vencimiento]]-$J$6</f>
        <v>10</v>
      </c>
      <c r="N1281" s="1" t="str">
        <f t="shared" ca="1" si="40"/>
        <v>Al dia</v>
      </c>
      <c r="O1281" s="19"/>
      <c r="P1281" s="2"/>
      <c r="Q1281" s="2">
        <f t="shared" si="39"/>
        <v>0</v>
      </c>
    </row>
    <row r="1282" spans="3:17" x14ac:dyDescent="0.25">
      <c r="C1282" t="s">
        <v>1569</v>
      </c>
      <c r="D1282" t="s">
        <v>2982</v>
      </c>
      <c r="E1282" s="10">
        <v>1134120825</v>
      </c>
      <c r="F1282" t="s">
        <v>35</v>
      </c>
      <c r="G1282" t="s">
        <v>2983</v>
      </c>
      <c r="H1282" s="14">
        <v>2</v>
      </c>
      <c r="I1282" s="10" t="s">
        <v>28</v>
      </c>
      <c r="J1282" s="1">
        <v>45579</v>
      </c>
      <c r="K1282" s="1">
        <v>45606</v>
      </c>
      <c r="L1282" s="25">
        <f ca="1">CLIENTES[[#This Row],[Fecha Vencimiento]]-$J$6</f>
        <v>11</v>
      </c>
      <c r="N1282" s="1" t="str">
        <f t="shared" ca="1" si="40"/>
        <v>Al dia</v>
      </c>
      <c r="O1282" s="19"/>
      <c r="P1282" s="2"/>
      <c r="Q1282" s="2">
        <f t="shared" si="39"/>
        <v>0</v>
      </c>
    </row>
    <row r="1283" spans="3:17" x14ac:dyDescent="0.25">
      <c r="C1283" t="s">
        <v>2984</v>
      </c>
      <c r="D1283" t="s">
        <v>138</v>
      </c>
      <c r="F1283" t="s">
        <v>35</v>
      </c>
      <c r="G1283" t="s">
        <v>2985</v>
      </c>
      <c r="H1283" s="14">
        <v>2</v>
      </c>
      <c r="I1283" s="10" t="s">
        <v>28</v>
      </c>
      <c r="J1283" s="1">
        <v>45580</v>
      </c>
      <c r="K1283" s="31">
        <v>45620</v>
      </c>
      <c r="L1283" s="25">
        <f ca="1">CLIENTES[[#This Row],[Fecha Vencimiento]]-$J$6</f>
        <v>25</v>
      </c>
      <c r="N1283" s="1" t="str">
        <f t="shared" ca="1" si="40"/>
        <v>Al dia</v>
      </c>
      <c r="O1283" s="19"/>
      <c r="P1283" s="2"/>
      <c r="Q1283" s="2">
        <f t="shared" si="39"/>
        <v>0</v>
      </c>
    </row>
    <row r="1284" spans="3:17" x14ac:dyDescent="0.25">
      <c r="C1284" t="s">
        <v>2986</v>
      </c>
      <c r="D1284" t="s">
        <v>2966</v>
      </c>
      <c r="F1284" t="s">
        <v>35</v>
      </c>
      <c r="G1284" t="s">
        <v>2987</v>
      </c>
      <c r="H1284" s="14">
        <v>2</v>
      </c>
      <c r="I1284" s="10" t="s">
        <v>28</v>
      </c>
      <c r="J1284" s="1">
        <v>45579</v>
      </c>
      <c r="K1284" s="1">
        <v>45610</v>
      </c>
      <c r="L1284" s="25">
        <f ca="1">CLIENTES[[#This Row],[Fecha Vencimiento]]-$J$6</f>
        <v>15</v>
      </c>
      <c r="N1284" s="1" t="str">
        <f t="shared" ca="1" si="40"/>
        <v>Al dia</v>
      </c>
      <c r="O1284" s="19"/>
      <c r="P1284" s="2"/>
      <c r="Q1284" s="2">
        <f t="shared" si="39"/>
        <v>0</v>
      </c>
    </row>
    <row r="1285" spans="3:17" x14ac:dyDescent="0.25">
      <c r="C1285" t="s">
        <v>2988</v>
      </c>
      <c r="D1285" t="s">
        <v>2989</v>
      </c>
      <c r="E1285" s="10">
        <v>1131370751</v>
      </c>
      <c r="F1285" t="s">
        <v>35</v>
      </c>
      <c r="G1285" t="s">
        <v>2990</v>
      </c>
      <c r="H1285" s="14">
        <v>1</v>
      </c>
      <c r="I1285" s="10" t="s">
        <v>28</v>
      </c>
      <c r="J1285" s="1">
        <v>45583</v>
      </c>
      <c r="K1285" s="1">
        <v>45614</v>
      </c>
      <c r="L1285" s="26">
        <f ca="1">CLIENTES[[#This Row],[Fecha Vencimiento]]-$J$6</f>
        <v>19</v>
      </c>
      <c r="N1285" s="1" t="str">
        <f t="shared" ca="1" si="40"/>
        <v>Al dia</v>
      </c>
      <c r="O1285" s="19"/>
      <c r="P1285" s="2"/>
      <c r="Q1285" s="2">
        <f t="shared" si="39"/>
        <v>0</v>
      </c>
    </row>
    <row r="1286" spans="3:17" x14ac:dyDescent="0.25">
      <c r="C1286" t="s">
        <v>2991</v>
      </c>
      <c r="D1286" t="s">
        <v>2992</v>
      </c>
      <c r="E1286" s="10">
        <v>1157803379</v>
      </c>
      <c r="F1286" t="s">
        <v>35</v>
      </c>
      <c r="G1286" t="s">
        <v>2993</v>
      </c>
      <c r="H1286" s="14">
        <v>1</v>
      </c>
      <c r="I1286" s="10" t="s">
        <v>28</v>
      </c>
      <c r="J1286" s="1">
        <v>45583</v>
      </c>
      <c r="K1286" s="1">
        <v>45614</v>
      </c>
      <c r="L1286" s="26">
        <f ca="1">CLIENTES[[#This Row],[Fecha Vencimiento]]-$J$6</f>
        <v>19</v>
      </c>
      <c r="N1286" s="1" t="str">
        <f t="shared" ca="1" si="40"/>
        <v>Al dia</v>
      </c>
      <c r="O1286" s="19"/>
      <c r="P1286" s="2"/>
      <c r="Q1286" s="2">
        <f t="shared" si="39"/>
        <v>0</v>
      </c>
    </row>
    <row r="1287" spans="3:17" x14ac:dyDescent="0.25">
      <c r="C1287" t="s">
        <v>1356</v>
      </c>
      <c r="D1287" t="s">
        <v>550</v>
      </c>
      <c r="E1287" s="10">
        <v>1135072745</v>
      </c>
      <c r="F1287" t="s">
        <v>35</v>
      </c>
      <c r="G1287" t="s">
        <v>2994</v>
      </c>
      <c r="H1287" s="14">
        <v>1</v>
      </c>
      <c r="I1287" s="10" t="s">
        <v>28</v>
      </c>
      <c r="J1287" s="1">
        <v>45583</v>
      </c>
      <c r="K1287" s="1">
        <v>45614</v>
      </c>
      <c r="L1287" s="26">
        <f ca="1">CLIENTES[[#This Row],[Fecha Vencimiento]]-$J$6</f>
        <v>19</v>
      </c>
      <c r="N1287" s="1" t="str">
        <f t="shared" ca="1" si="40"/>
        <v>Al dia</v>
      </c>
      <c r="O1287" s="19"/>
      <c r="P1287" s="2"/>
      <c r="Q1287" s="2">
        <f t="shared" si="39"/>
        <v>0</v>
      </c>
    </row>
    <row r="1288" spans="3:17" x14ac:dyDescent="0.25">
      <c r="C1288" t="s">
        <v>886</v>
      </c>
      <c r="D1288" t="s">
        <v>2995</v>
      </c>
      <c r="E1288" s="10">
        <v>1156188397</v>
      </c>
      <c r="F1288" t="s">
        <v>35</v>
      </c>
      <c r="G1288" t="s">
        <v>2996</v>
      </c>
      <c r="H1288" s="14">
        <v>1</v>
      </c>
      <c r="I1288" s="10" t="s">
        <v>28</v>
      </c>
      <c r="J1288" s="1">
        <v>45583</v>
      </c>
      <c r="K1288" s="1">
        <v>45614</v>
      </c>
      <c r="L1288" s="25">
        <f ca="1">CLIENTES[[#This Row],[Fecha Vencimiento]]-$J$6</f>
        <v>19</v>
      </c>
      <c r="N1288" s="1" t="str">
        <f t="shared" ca="1" si="40"/>
        <v>Al dia</v>
      </c>
      <c r="O1288" s="19"/>
      <c r="P1288" s="2"/>
      <c r="Q1288" s="2">
        <f t="shared" ref="Q1288:Q1350" si="41">P1288-O1288</f>
        <v>0</v>
      </c>
    </row>
    <row r="1289" spans="3:17" x14ac:dyDescent="0.25">
      <c r="C1289" t="s">
        <v>2511</v>
      </c>
      <c r="D1289" t="s">
        <v>2997</v>
      </c>
      <c r="E1289" s="10">
        <v>1125039040</v>
      </c>
      <c r="F1289" t="s">
        <v>35</v>
      </c>
      <c r="G1289" t="s">
        <v>2998</v>
      </c>
      <c r="H1289" s="14">
        <v>1</v>
      </c>
      <c r="I1289" s="10" t="s">
        <v>28</v>
      </c>
      <c r="J1289" s="1">
        <v>45583</v>
      </c>
      <c r="K1289" s="1">
        <v>45614</v>
      </c>
      <c r="L1289" s="26">
        <f ca="1">CLIENTES[[#This Row],[Fecha Vencimiento]]-$J$6</f>
        <v>19</v>
      </c>
      <c r="N1289" s="1" t="str">
        <f t="shared" ca="1" si="40"/>
        <v>Al dia</v>
      </c>
      <c r="O1289" s="19"/>
      <c r="P1289" s="2"/>
      <c r="Q1289" s="2">
        <f t="shared" si="41"/>
        <v>0</v>
      </c>
    </row>
    <row r="1290" spans="3:17" x14ac:dyDescent="0.25">
      <c r="C1290" t="s">
        <v>2999</v>
      </c>
      <c r="D1290" t="s">
        <v>635</v>
      </c>
      <c r="E1290" s="10">
        <v>1159110078</v>
      </c>
      <c r="F1290" t="s">
        <v>35</v>
      </c>
      <c r="G1290" t="s">
        <v>3000</v>
      </c>
      <c r="H1290" s="14">
        <v>1</v>
      </c>
      <c r="I1290" s="10" t="s">
        <v>28</v>
      </c>
      <c r="J1290" s="1">
        <v>45583</v>
      </c>
      <c r="K1290" s="1">
        <v>45614</v>
      </c>
      <c r="L1290" s="26">
        <f ca="1">CLIENTES[[#This Row],[Fecha Vencimiento]]-$J$6</f>
        <v>19</v>
      </c>
      <c r="N1290" s="1" t="str">
        <f t="shared" ca="1" si="40"/>
        <v>Al dia</v>
      </c>
      <c r="O1290" s="19"/>
      <c r="P1290" s="2"/>
      <c r="Q1290" s="2">
        <f t="shared" si="41"/>
        <v>0</v>
      </c>
    </row>
    <row r="1291" spans="3:17" x14ac:dyDescent="0.25">
      <c r="C1291" t="s">
        <v>1262</v>
      </c>
      <c r="D1291" t="s">
        <v>3001</v>
      </c>
      <c r="E1291" s="10">
        <v>1133225729</v>
      </c>
      <c r="F1291" t="s">
        <v>35</v>
      </c>
      <c r="G1291" t="s">
        <v>3002</v>
      </c>
      <c r="H1291" s="14">
        <v>1</v>
      </c>
      <c r="I1291" s="10" t="s">
        <v>28</v>
      </c>
      <c r="J1291" s="1">
        <v>45583</v>
      </c>
      <c r="K1291" s="1">
        <v>45614</v>
      </c>
      <c r="L1291" s="26">
        <f ca="1">CLIENTES[[#This Row],[Fecha Vencimiento]]-$J$6</f>
        <v>19</v>
      </c>
      <c r="N1291" s="1" t="str">
        <f t="shared" ca="1" si="40"/>
        <v>Al dia</v>
      </c>
      <c r="O1291" s="19"/>
      <c r="P1291" s="2"/>
      <c r="Q1291" s="2">
        <f t="shared" si="41"/>
        <v>0</v>
      </c>
    </row>
    <row r="1292" spans="3:17" x14ac:dyDescent="0.25">
      <c r="C1292" t="s">
        <v>642</v>
      </c>
      <c r="D1292" t="s">
        <v>3003</v>
      </c>
      <c r="E1292" s="10">
        <v>1125501096</v>
      </c>
      <c r="F1292" t="s">
        <v>35</v>
      </c>
      <c r="G1292" t="s">
        <v>3004</v>
      </c>
      <c r="H1292" s="14">
        <v>1</v>
      </c>
      <c r="I1292" s="10" t="s">
        <v>28</v>
      </c>
      <c r="J1292" s="1">
        <v>45583</v>
      </c>
      <c r="K1292" s="1">
        <v>45614</v>
      </c>
      <c r="L1292" s="26">
        <f ca="1">CLIENTES[[#This Row],[Fecha Vencimiento]]-$J$6</f>
        <v>19</v>
      </c>
      <c r="N1292" s="1" t="str">
        <f t="shared" ca="1" si="40"/>
        <v>Al dia</v>
      </c>
      <c r="O1292" s="19"/>
      <c r="P1292" s="2"/>
      <c r="Q1292" s="2">
        <f t="shared" si="41"/>
        <v>0</v>
      </c>
    </row>
    <row r="1293" spans="3:17" x14ac:dyDescent="0.25">
      <c r="C1293" t="s">
        <v>145</v>
      </c>
      <c r="D1293" t="s">
        <v>3005</v>
      </c>
      <c r="E1293" s="10">
        <v>1150225160</v>
      </c>
      <c r="F1293" t="s">
        <v>35</v>
      </c>
      <c r="G1293" t="s">
        <v>3006</v>
      </c>
      <c r="H1293" s="14">
        <v>1</v>
      </c>
      <c r="I1293" s="10" t="s">
        <v>28</v>
      </c>
      <c r="J1293" s="1">
        <v>45583</v>
      </c>
      <c r="K1293" s="1">
        <v>45614</v>
      </c>
      <c r="L1293" s="26">
        <f ca="1">CLIENTES[[#This Row],[Fecha Vencimiento]]-$J$6</f>
        <v>19</v>
      </c>
      <c r="N1293" s="1" t="str">
        <f t="shared" ca="1" si="40"/>
        <v>Al dia</v>
      </c>
      <c r="O1293" s="19"/>
      <c r="P1293" s="2"/>
      <c r="Q1293" s="2">
        <f t="shared" si="41"/>
        <v>0</v>
      </c>
    </row>
    <row r="1294" spans="3:17" x14ac:dyDescent="0.25">
      <c r="C1294" t="s">
        <v>1211</v>
      </c>
      <c r="D1294" t="s">
        <v>2572</v>
      </c>
      <c r="E1294" s="10" t="s">
        <v>2931</v>
      </c>
      <c r="F1294" t="s">
        <v>35</v>
      </c>
      <c r="G1294" t="s">
        <v>3007</v>
      </c>
      <c r="H1294" s="14">
        <v>1</v>
      </c>
      <c r="I1294" s="10" t="s">
        <v>28</v>
      </c>
      <c r="J1294" s="1">
        <v>45582</v>
      </c>
      <c r="K1294" s="1">
        <v>45613</v>
      </c>
      <c r="L1294" s="26">
        <f ca="1">CLIENTES[[#This Row],[Fecha Vencimiento]]-$J$6</f>
        <v>18</v>
      </c>
      <c r="N1294" s="1" t="str">
        <f t="shared" ca="1" si="40"/>
        <v>Al dia</v>
      </c>
      <c r="O1294" s="19"/>
      <c r="P1294" s="2"/>
      <c r="Q1294" s="2">
        <f t="shared" si="41"/>
        <v>0</v>
      </c>
    </row>
    <row r="1295" spans="3:17" x14ac:dyDescent="0.25">
      <c r="C1295" t="s">
        <v>80</v>
      </c>
      <c r="D1295" t="s">
        <v>3008</v>
      </c>
      <c r="E1295" s="10" t="s">
        <v>2931</v>
      </c>
      <c r="F1295" t="s">
        <v>35</v>
      </c>
      <c r="G1295" t="s">
        <v>3009</v>
      </c>
      <c r="H1295" s="14">
        <v>1</v>
      </c>
      <c r="I1295" s="10" t="s">
        <v>28</v>
      </c>
      <c r="J1295" s="1">
        <v>45581</v>
      </c>
      <c r="K1295" s="1">
        <v>45612</v>
      </c>
      <c r="L1295" s="26">
        <f ca="1">CLIENTES[[#This Row],[Fecha Vencimiento]]-$J$6</f>
        <v>17</v>
      </c>
      <c r="N1295" s="1" t="str">
        <f t="shared" ca="1" si="40"/>
        <v>Al dia</v>
      </c>
      <c r="O1295" s="19"/>
      <c r="P1295" s="2"/>
      <c r="Q1295" s="2">
        <f t="shared" si="41"/>
        <v>0</v>
      </c>
    </row>
    <row r="1296" spans="3:17" x14ac:dyDescent="0.25">
      <c r="C1296" s="32" t="s">
        <v>364</v>
      </c>
      <c r="D1296" t="s">
        <v>365</v>
      </c>
      <c r="F1296" t="s">
        <v>35</v>
      </c>
      <c r="G1296" t="s">
        <v>3010</v>
      </c>
      <c r="H1296" s="14">
        <v>1</v>
      </c>
      <c r="I1296" s="10" t="s">
        <v>28</v>
      </c>
      <c r="J1296" s="1">
        <v>45586</v>
      </c>
      <c r="K1296" s="1">
        <v>45648</v>
      </c>
      <c r="L1296" s="26">
        <f ca="1">CLIENTES[[#This Row],[Fecha Vencimiento]]-$J$6</f>
        <v>53</v>
      </c>
      <c r="N1296" s="1" t="str">
        <f t="shared" ref="N1296:N1327" ca="1" si="42">IF(L1296&lt;0,"Vencido",IF(L1296=0,"Vence hoy",IF(L1296&lt;4,"Por vencer","Al dia")))</f>
        <v>Al dia</v>
      </c>
      <c r="O1296" s="19"/>
      <c r="P1296" s="2"/>
      <c r="Q1296" s="2">
        <f t="shared" si="41"/>
        <v>0</v>
      </c>
    </row>
    <row r="1297" spans="3:17" x14ac:dyDescent="0.25">
      <c r="C1297" t="s">
        <v>3011</v>
      </c>
      <c r="D1297" t="s">
        <v>3012</v>
      </c>
      <c r="E1297" s="10">
        <v>1121865510</v>
      </c>
      <c r="F1297" t="s">
        <v>35</v>
      </c>
      <c r="G1297" t="s">
        <v>3013</v>
      </c>
      <c r="H1297" s="14">
        <v>1</v>
      </c>
      <c r="I1297" s="10" t="s">
        <v>28</v>
      </c>
      <c r="J1297" s="1">
        <v>45586</v>
      </c>
      <c r="K1297" s="1">
        <v>45617</v>
      </c>
      <c r="L1297" s="26">
        <f ca="1">CLIENTES[[#This Row],[Fecha Vencimiento]]-$J$6</f>
        <v>22</v>
      </c>
      <c r="N1297" s="1" t="str">
        <f t="shared" ca="1" si="42"/>
        <v>Al dia</v>
      </c>
      <c r="O1297" s="19">
        <v>45586</v>
      </c>
      <c r="P1297" s="2"/>
      <c r="Q1297" s="2">
        <f t="shared" si="41"/>
        <v>-45586</v>
      </c>
    </row>
    <row r="1298" spans="3:17" x14ac:dyDescent="0.25">
      <c r="C1298" t="s">
        <v>3014</v>
      </c>
      <c r="D1298" t="s">
        <v>3015</v>
      </c>
      <c r="E1298" s="10">
        <v>1166931618</v>
      </c>
      <c r="F1298" t="s">
        <v>35</v>
      </c>
      <c r="G1298" t="s">
        <v>3016</v>
      </c>
      <c r="H1298" s="14">
        <v>1</v>
      </c>
      <c r="I1298" s="10" t="s">
        <v>28</v>
      </c>
      <c r="J1298" s="1">
        <v>45586</v>
      </c>
      <c r="K1298" s="1">
        <v>45617</v>
      </c>
      <c r="L1298" s="26">
        <f ca="1">CLIENTES[[#This Row],[Fecha Vencimiento]]-$J$6</f>
        <v>22</v>
      </c>
      <c r="N1298" s="1" t="str">
        <f t="shared" ca="1" si="42"/>
        <v>Al dia</v>
      </c>
      <c r="O1298" s="19"/>
      <c r="P1298" s="2"/>
      <c r="Q1298" s="2">
        <f t="shared" si="41"/>
        <v>0</v>
      </c>
    </row>
    <row r="1299" spans="3:17" x14ac:dyDescent="0.25">
      <c r="C1299" t="s">
        <v>1390</v>
      </c>
      <c r="D1299" t="s">
        <v>1391</v>
      </c>
      <c r="E1299" s="10">
        <v>1125951524</v>
      </c>
      <c r="F1299" t="s">
        <v>35</v>
      </c>
      <c r="G1299" t="s">
        <v>3017</v>
      </c>
      <c r="H1299" s="14">
        <v>1</v>
      </c>
      <c r="I1299" s="10" t="s">
        <v>28</v>
      </c>
      <c r="J1299" s="1">
        <v>45586</v>
      </c>
      <c r="K1299" s="1">
        <v>45617</v>
      </c>
      <c r="L1299" s="26">
        <f ca="1">CLIENTES[[#This Row],[Fecha Vencimiento]]-$J$6</f>
        <v>22</v>
      </c>
      <c r="N1299" s="1" t="str">
        <f t="shared" ca="1" si="42"/>
        <v>Al dia</v>
      </c>
      <c r="O1299" s="19">
        <v>45586</v>
      </c>
      <c r="P1299" s="2"/>
      <c r="Q1299" s="2">
        <f t="shared" si="41"/>
        <v>-45586</v>
      </c>
    </row>
    <row r="1300" spans="3:17" x14ac:dyDescent="0.25">
      <c r="C1300" t="s">
        <v>540</v>
      </c>
      <c r="D1300" t="s">
        <v>3018</v>
      </c>
      <c r="E1300" s="10">
        <v>1165926911</v>
      </c>
      <c r="F1300" t="s">
        <v>159</v>
      </c>
      <c r="G1300" t="s">
        <v>3019</v>
      </c>
      <c r="H1300" s="14">
        <v>1</v>
      </c>
      <c r="I1300" s="10" t="s">
        <v>718</v>
      </c>
      <c r="J1300" s="1">
        <v>45587</v>
      </c>
      <c r="K1300" s="1">
        <v>45618</v>
      </c>
      <c r="L1300" s="26">
        <f ca="1">CLIENTES[[#This Row],[Fecha Vencimiento]]-$J$6</f>
        <v>23</v>
      </c>
      <c r="N1300" s="1" t="str">
        <f t="shared" ca="1" si="42"/>
        <v>Al dia</v>
      </c>
      <c r="O1300" s="19">
        <v>45587</v>
      </c>
      <c r="P1300" s="2"/>
      <c r="Q1300" s="2">
        <f t="shared" si="41"/>
        <v>-45587</v>
      </c>
    </row>
    <row r="1301" spans="3:17" x14ac:dyDescent="0.25">
      <c r="C1301" t="s">
        <v>1608</v>
      </c>
      <c r="D1301" t="s">
        <v>1609</v>
      </c>
      <c r="F1301" t="s">
        <v>35</v>
      </c>
      <c r="G1301" t="s">
        <v>3020</v>
      </c>
      <c r="H1301" s="14">
        <v>1</v>
      </c>
      <c r="I1301" s="10" t="s">
        <v>28</v>
      </c>
      <c r="J1301" s="1">
        <v>45588</v>
      </c>
      <c r="K1301" s="1">
        <v>45619</v>
      </c>
      <c r="L1301" s="26">
        <f ca="1">CLIENTES[[#This Row],[Fecha Vencimiento]]-$J$6</f>
        <v>24</v>
      </c>
      <c r="N1301" s="1" t="str">
        <f t="shared" ca="1" si="42"/>
        <v>Al dia</v>
      </c>
      <c r="O1301" s="19">
        <v>45588</v>
      </c>
      <c r="P1301" s="2"/>
      <c r="Q1301" s="2">
        <f t="shared" si="41"/>
        <v>-45588</v>
      </c>
    </row>
    <row r="1302" spans="3:17" x14ac:dyDescent="0.25">
      <c r="C1302" t="s">
        <v>756</v>
      </c>
      <c r="D1302" t="s">
        <v>3021</v>
      </c>
      <c r="E1302" s="10">
        <v>1166771715</v>
      </c>
      <c r="F1302" t="s">
        <v>35</v>
      </c>
      <c r="G1302" t="s">
        <v>3022</v>
      </c>
      <c r="H1302" s="14">
        <v>1</v>
      </c>
      <c r="I1302" s="10" t="s">
        <v>28</v>
      </c>
      <c r="J1302" s="1">
        <v>45588</v>
      </c>
      <c r="K1302" s="1">
        <v>45619</v>
      </c>
      <c r="L1302" s="26">
        <f ca="1">CLIENTES[[#This Row],[Fecha Vencimiento]]-$J$6</f>
        <v>24</v>
      </c>
      <c r="N1302" s="1" t="str">
        <f t="shared" ca="1" si="42"/>
        <v>Al dia</v>
      </c>
      <c r="O1302" s="19">
        <v>45588</v>
      </c>
      <c r="P1302" s="2"/>
      <c r="Q1302" s="2">
        <f t="shared" si="41"/>
        <v>-45588</v>
      </c>
    </row>
    <row r="1303" spans="3:17" x14ac:dyDescent="0.25">
      <c r="C1303" t="s">
        <v>3023</v>
      </c>
      <c r="D1303" t="s">
        <v>3024</v>
      </c>
      <c r="E1303" s="10">
        <v>1164169446</v>
      </c>
      <c r="F1303" t="s">
        <v>35</v>
      </c>
      <c r="G1303" t="s">
        <v>3025</v>
      </c>
      <c r="H1303" s="14">
        <v>1</v>
      </c>
      <c r="I1303" s="10" t="s">
        <v>28</v>
      </c>
      <c r="J1303" s="1">
        <v>45588</v>
      </c>
      <c r="K1303" s="1">
        <v>45619</v>
      </c>
      <c r="L1303" s="25">
        <f ca="1">CLIENTES[[#This Row],[Fecha Vencimiento]]-$J$6</f>
        <v>24</v>
      </c>
      <c r="N1303" s="1" t="str">
        <f t="shared" ca="1" si="42"/>
        <v>Al dia</v>
      </c>
      <c r="O1303" s="19">
        <v>45588</v>
      </c>
      <c r="P1303" s="2"/>
      <c r="Q1303" s="2">
        <f t="shared" si="41"/>
        <v>-45588</v>
      </c>
    </row>
    <row r="1304" spans="3:17" x14ac:dyDescent="0.25">
      <c r="C1304" t="s">
        <v>756</v>
      </c>
      <c r="D1304" t="s">
        <v>3026</v>
      </c>
      <c r="E1304" s="10" t="s">
        <v>2931</v>
      </c>
      <c r="F1304" t="s">
        <v>35</v>
      </c>
      <c r="G1304" t="s">
        <v>3027</v>
      </c>
      <c r="H1304" s="14">
        <v>1</v>
      </c>
      <c r="I1304" s="10" t="s">
        <v>28</v>
      </c>
      <c r="J1304" s="1">
        <v>45588</v>
      </c>
      <c r="K1304" s="1">
        <v>45619</v>
      </c>
      <c r="L1304" s="26">
        <f ca="1">CLIENTES[[#This Row],[Fecha Vencimiento]]-$J$6</f>
        <v>24</v>
      </c>
      <c r="N1304" s="1" t="str">
        <f t="shared" ca="1" si="42"/>
        <v>Al dia</v>
      </c>
      <c r="O1304" s="19">
        <v>45588</v>
      </c>
      <c r="P1304" s="2"/>
      <c r="Q1304" s="2">
        <f t="shared" si="41"/>
        <v>-45588</v>
      </c>
    </row>
    <row r="1305" spans="3:17" x14ac:dyDescent="0.25">
      <c r="C1305" t="s">
        <v>3028</v>
      </c>
      <c r="D1305" t="s">
        <v>374</v>
      </c>
      <c r="E1305" s="10">
        <v>1138506117</v>
      </c>
      <c r="F1305" t="s">
        <v>35</v>
      </c>
      <c r="G1305" t="s">
        <v>3029</v>
      </c>
      <c r="H1305" s="14">
        <v>1</v>
      </c>
      <c r="I1305" s="10" t="s">
        <v>28</v>
      </c>
      <c r="J1305" s="1">
        <v>45587</v>
      </c>
      <c r="K1305" s="1">
        <v>45618</v>
      </c>
      <c r="L1305" s="26">
        <f ca="1">CLIENTES[[#This Row],[Fecha Vencimiento]]-$J$6</f>
        <v>23</v>
      </c>
      <c r="N1305" s="1" t="str">
        <f t="shared" ca="1" si="42"/>
        <v>Al dia</v>
      </c>
      <c r="O1305" s="19">
        <v>45587</v>
      </c>
      <c r="P1305" s="2"/>
      <c r="Q1305" s="2">
        <f t="shared" si="41"/>
        <v>-45587</v>
      </c>
    </row>
    <row r="1306" spans="3:17" x14ac:dyDescent="0.25">
      <c r="C1306" t="s">
        <v>1334</v>
      </c>
      <c r="D1306" t="s">
        <v>3030</v>
      </c>
      <c r="E1306" s="10" t="s">
        <v>2931</v>
      </c>
      <c r="F1306" t="s">
        <v>159</v>
      </c>
      <c r="G1306" t="s">
        <v>1336</v>
      </c>
      <c r="H1306" s="14">
        <v>1</v>
      </c>
      <c r="I1306" s="10" t="s">
        <v>718</v>
      </c>
      <c r="J1306" s="1">
        <v>45586</v>
      </c>
      <c r="K1306" s="1">
        <v>45617</v>
      </c>
      <c r="L1306" s="26">
        <f ca="1">CLIENTES[[#This Row],[Fecha Vencimiento]]-$J$6</f>
        <v>22</v>
      </c>
      <c r="N1306" s="1" t="str">
        <f t="shared" ca="1" si="42"/>
        <v>Al dia</v>
      </c>
      <c r="O1306" s="19">
        <v>45586</v>
      </c>
      <c r="P1306" s="2">
        <v>69000</v>
      </c>
      <c r="Q1306" s="2">
        <f t="shared" si="41"/>
        <v>23414</v>
      </c>
    </row>
    <row r="1307" spans="3:17" x14ac:dyDescent="0.25">
      <c r="C1307" t="s">
        <v>3031</v>
      </c>
      <c r="D1307" t="s">
        <v>3032</v>
      </c>
      <c r="E1307" s="10">
        <v>1123788906</v>
      </c>
      <c r="F1307" t="s">
        <v>35</v>
      </c>
      <c r="G1307" t="s">
        <v>3033</v>
      </c>
      <c r="H1307" s="14">
        <v>1</v>
      </c>
      <c r="I1307" s="10" t="s">
        <v>28</v>
      </c>
      <c r="J1307" s="1">
        <v>45589</v>
      </c>
      <c r="K1307" s="1">
        <v>45620</v>
      </c>
      <c r="L1307" s="26">
        <f ca="1">CLIENTES[[#This Row],[Fecha Vencimiento]]-$J$6</f>
        <v>25</v>
      </c>
      <c r="N1307" s="1" t="str">
        <f t="shared" ca="1" si="42"/>
        <v>Al dia</v>
      </c>
      <c r="O1307" s="19">
        <v>45589</v>
      </c>
      <c r="P1307" s="2"/>
      <c r="Q1307" s="2">
        <f t="shared" si="41"/>
        <v>-45589</v>
      </c>
    </row>
    <row r="1308" spans="3:17" x14ac:dyDescent="0.25">
      <c r="C1308" t="s">
        <v>3034</v>
      </c>
      <c r="D1308" t="s">
        <v>3035</v>
      </c>
      <c r="E1308" s="10">
        <v>1126714769</v>
      </c>
      <c r="F1308" t="s">
        <v>35</v>
      </c>
      <c r="G1308" t="s">
        <v>3036</v>
      </c>
      <c r="H1308" s="14">
        <v>1</v>
      </c>
      <c r="I1308" s="10" t="s">
        <v>28</v>
      </c>
      <c r="J1308" s="1">
        <v>45589</v>
      </c>
      <c r="K1308" s="1">
        <v>45620</v>
      </c>
      <c r="L1308" s="26">
        <f ca="1">CLIENTES[[#This Row],[Fecha Vencimiento]]-$J$6</f>
        <v>25</v>
      </c>
      <c r="N1308" s="1" t="str">
        <f t="shared" ca="1" si="42"/>
        <v>Al dia</v>
      </c>
      <c r="O1308" s="19">
        <v>45589</v>
      </c>
      <c r="P1308" s="2"/>
      <c r="Q1308" s="2">
        <f t="shared" si="41"/>
        <v>-45589</v>
      </c>
    </row>
    <row r="1309" spans="3:17" x14ac:dyDescent="0.25">
      <c r="C1309" t="s">
        <v>3037</v>
      </c>
      <c r="D1309" t="s">
        <v>3038</v>
      </c>
      <c r="F1309" t="s">
        <v>35</v>
      </c>
      <c r="G1309" t="s">
        <v>3039</v>
      </c>
      <c r="H1309" s="14">
        <v>1</v>
      </c>
      <c r="I1309" s="10" t="s">
        <v>28</v>
      </c>
      <c r="J1309" s="1">
        <v>45589</v>
      </c>
      <c r="K1309" s="1">
        <v>45620</v>
      </c>
      <c r="L1309" s="26">
        <f ca="1">CLIENTES[[#This Row],[Fecha Vencimiento]]-$J$6</f>
        <v>25</v>
      </c>
      <c r="N1309" s="1" t="str">
        <f t="shared" ca="1" si="42"/>
        <v>Al dia</v>
      </c>
      <c r="O1309" s="19">
        <v>45589</v>
      </c>
      <c r="P1309" s="2"/>
      <c r="Q1309" s="2">
        <f t="shared" si="41"/>
        <v>-45589</v>
      </c>
    </row>
    <row r="1310" spans="3:17" x14ac:dyDescent="0.25">
      <c r="C1310" t="s">
        <v>3040</v>
      </c>
      <c r="D1310" t="s">
        <v>3041</v>
      </c>
      <c r="E1310" s="10">
        <v>1156605092</v>
      </c>
      <c r="F1310" t="s">
        <v>35</v>
      </c>
      <c r="G1310" t="s">
        <v>3042</v>
      </c>
      <c r="H1310" s="14">
        <v>1</v>
      </c>
      <c r="I1310" s="10" t="s">
        <v>28</v>
      </c>
      <c r="J1310" s="1">
        <v>45589</v>
      </c>
      <c r="K1310" s="1">
        <v>45621</v>
      </c>
      <c r="L1310" s="26">
        <f ca="1">CLIENTES[[#This Row],[Fecha Vencimiento]]-$J$6</f>
        <v>26</v>
      </c>
      <c r="N1310" s="1" t="str">
        <f t="shared" ca="1" si="42"/>
        <v>Al dia</v>
      </c>
      <c r="O1310" s="19">
        <v>45589</v>
      </c>
      <c r="P1310" s="2"/>
      <c r="Q1310" s="2">
        <f t="shared" si="41"/>
        <v>-45589</v>
      </c>
    </row>
    <row r="1311" spans="3:17" x14ac:dyDescent="0.25">
      <c r="C1311" t="s">
        <v>3043</v>
      </c>
      <c r="D1311" t="s">
        <v>1442</v>
      </c>
      <c r="E1311" s="10">
        <v>1133614969</v>
      </c>
      <c r="F1311" t="s">
        <v>35</v>
      </c>
      <c r="G1311" t="s">
        <v>3044</v>
      </c>
      <c r="H1311" s="14">
        <v>1</v>
      </c>
      <c r="I1311" s="10" t="s">
        <v>28</v>
      </c>
      <c r="J1311" s="1">
        <v>45589</v>
      </c>
      <c r="K1311" s="1">
        <v>45621</v>
      </c>
      <c r="L1311" s="26">
        <f ca="1">CLIENTES[[#This Row],[Fecha Vencimiento]]-$J$6</f>
        <v>26</v>
      </c>
      <c r="N1311" s="1" t="str">
        <f t="shared" ca="1" si="42"/>
        <v>Al dia</v>
      </c>
      <c r="O1311" s="19">
        <v>45589</v>
      </c>
      <c r="P1311" s="2"/>
      <c r="Q1311" s="2">
        <f t="shared" si="41"/>
        <v>-45589</v>
      </c>
    </row>
    <row r="1312" spans="3:17" x14ac:dyDescent="0.25">
      <c r="I1312" s="10"/>
      <c r="L1312" s="26">
        <f ca="1">CLIENTES[[#This Row],[Fecha Vencimiento]]-$J$6</f>
        <v>-45595</v>
      </c>
      <c r="N1312" s="1" t="str">
        <f t="shared" ca="1" si="42"/>
        <v>Vencido</v>
      </c>
      <c r="O1312" s="19"/>
      <c r="P1312" s="2"/>
      <c r="Q1312" s="2">
        <f t="shared" si="41"/>
        <v>0</v>
      </c>
    </row>
    <row r="1313" spans="3:17" x14ac:dyDescent="0.25">
      <c r="C1313" t="s">
        <v>1189</v>
      </c>
      <c r="D1313" t="s">
        <v>1736</v>
      </c>
      <c r="F1313" t="s">
        <v>35</v>
      </c>
      <c r="G1313" t="s">
        <v>3045</v>
      </c>
      <c r="H1313" s="14">
        <v>1</v>
      </c>
      <c r="I1313" s="10" t="s">
        <v>28</v>
      </c>
      <c r="J1313" s="1">
        <v>45572</v>
      </c>
      <c r="K1313" s="1">
        <v>45603</v>
      </c>
      <c r="L1313" s="26">
        <f ca="1">CLIENTES[[#This Row],[Fecha Vencimiento]]-$J$6</f>
        <v>8</v>
      </c>
      <c r="N1313" s="1" t="str">
        <f t="shared" ca="1" si="42"/>
        <v>Al dia</v>
      </c>
      <c r="O1313" s="19">
        <v>45572</v>
      </c>
      <c r="P1313" s="2"/>
      <c r="Q1313" s="2">
        <f t="shared" si="41"/>
        <v>-45572</v>
      </c>
    </row>
    <row r="1314" spans="3:17" x14ac:dyDescent="0.25">
      <c r="C1314" t="s">
        <v>830</v>
      </c>
      <c r="D1314" t="s">
        <v>3046</v>
      </c>
      <c r="F1314" t="s">
        <v>35</v>
      </c>
      <c r="G1314" t="s">
        <v>3047</v>
      </c>
      <c r="H1314" s="14">
        <v>1</v>
      </c>
      <c r="I1314" s="10" t="s">
        <v>28</v>
      </c>
      <c r="J1314" s="1">
        <v>45576</v>
      </c>
      <c r="K1314" s="31">
        <v>45607</v>
      </c>
      <c r="L1314" s="26">
        <f ca="1">CLIENTES[[#This Row],[Fecha Vencimiento]]-$J$6</f>
        <v>12</v>
      </c>
      <c r="N1314" s="1" t="str">
        <f t="shared" ca="1" si="42"/>
        <v>Al dia</v>
      </c>
      <c r="O1314" s="19">
        <v>45576</v>
      </c>
      <c r="P1314" s="2"/>
      <c r="Q1314" s="2">
        <f t="shared" si="41"/>
        <v>-45576</v>
      </c>
    </row>
    <row r="1315" spans="3:17" x14ac:dyDescent="0.25">
      <c r="C1315" t="s">
        <v>576</v>
      </c>
      <c r="D1315" t="s">
        <v>3048</v>
      </c>
      <c r="F1315" t="s">
        <v>35</v>
      </c>
      <c r="G1315" t="s">
        <v>3049</v>
      </c>
      <c r="H1315" s="14">
        <v>1</v>
      </c>
      <c r="I1315" s="10" t="s">
        <v>28</v>
      </c>
      <c r="J1315" s="1">
        <v>45574</v>
      </c>
      <c r="K1315" s="1">
        <v>45605</v>
      </c>
      <c r="L1315" s="26">
        <f ca="1">CLIENTES[[#This Row],[Fecha Vencimiento]]-$J$6</f>
        <v>10</v>
      </c>
      <c r="N1315" s="1" t="str">
        <f t="shared" ca="1" si="42"/>
        <v>Al dia</v>
      </c>
      <c r="O1315" s="19">
        <v>45574</v>
      </c>
      <c r="P1315" s="2"/>
      <c r="Q1315" s="2">
        <f t="shared" si="41"/>
        <v>-45574</v>
      </c>
    </row>
    <row r="1316" spans="3:17" x14ac:dyDescent="0.25">
      <c r="C1316" t="s">
        <v>87</v>
      </c>
      <c r="D1316" t="s">
        <v>2484</v>
      </c>
      <c r="F1316" t="s">
        <v>26</v>
      </c>
      <c r="G1316" t="s">
        <v>3050</v>
      </c>
      <c r="H1316" s="14">
        <v>5</v>
      </c>
      <c r="I1316" s="10" t="s">
        <v>28</v>
      </c>
      <c r="J1316" s="1">
        <v>45590</v>
      </c>
      <c r="K1316" s="1">
        <v>45614</v>
      </c>
      <c r="L1316" s="26">
        <f ca="1">CLIENTES[[#This Row],[Fecha Vencimiento]]-$J$6</f>
        <v>19</v>
      </c>
      <c r="N1316" s="1" t="str">
        <f t="shared" ca="1" si="42"/>
        <v>Al dia</v>
      </c>
      <c r="O1316" s="19"/>
      <c r="P1316" s="2"/>
      <c r="Q1316" s="2">
        <f t="shared" si="41"/>
        <v>0</v>
      </c>
    </row>
    <row r="1317" spans="3:17" x14ac:dyDescent="0.25">
      <c r="C1317" t="s">
        <v>3051</v>
      </c>
      <c r="D1317" t="s">
        <v>3052</v>
      </c>
      <c r="F1317" t="s">
        <v>35</v>
      </c>
      <c r="G1317" t="s">
        <v>2705</v>
      </c>
      <c r="H1317" s="14">
        <v>2</v>
      </c>
      <c r="I1317" s="10" t="s">
        <v>28</v>
      </c>
      <c r="J1317" s="1">
        <v>45590</v>
      </c>
      <c r="K1317" s="31">
        <v>45617</v>
      </c>
      <c r="L1317" s="26">
        <f ca="1">CLIENTES[[#This Row],[Fecha Vencimiento]]-$J$6</f>
        <v>22</v>
      </c>
      <c r="N1317" s="1" t="str">
        <f t="shared" ca="1" si="42"/>
        <v>Al dia</v>
      </c>
      <c r="O1317" s="19"/>
      <c r="P1317" s="2"/>
      <c r="Q1317" s="2">
        <f t="shared" si="41"/>
        <v>0</v>
      </c>
    </row>
    <row r="1318" spans="3:17" x14ac:dyDescent="0.25">
      <c r="C1318" t="s">
        <v>1356</v>
      </c>
      <c r="D1318" t="s">
        <v>2109</v>
      </c>
      <c r="F1318" t="s">
        <v>35</v>
      </c>
      <c r="G1318" t="s">
        <v>3053</v>
      </c>
      <c r="H1318" s="14">
        <v>1</v>
      </c>
      <c r="I1318" s="10" t="s">
        <v>28</v>
      </c>
      <c r="J1318" s="1">
        <v>45521</v>
      </c>
      <c r="K1318" s="1">
        <v>45546</v>
      </c>
      <c r="L1318" s="26">
        <f ca="1">CLIENTES[[#This Row],[Fecha Vencimiento]]-$J$6</f>
        <v>-49</v>
      </c>
      <c r="N1318" s="1" t="str">
        <f t="shared" ca="1" si="42"/>
        <v>Vencido</v>
      </c>
      <c r="O1318" s="19"/>
      <c r="P1318" s="2"/>
      <c r="Q1318" s="2">
        <f t="shared" si="41"/>
        <v>0</v>
      </c>
    </row>
    <row r="1319" spans="3:17" x14ac:dyDescent="0.25">
      <c r="C1319" t="s">
        <v>1017</v>
      </c>
      <c r="D1319" t="s">
        <v>3054</v>
      </c>
      <c r="F1319" t="s">
        <v>35</v>
      </c>
      <c r="G1319" t="s">
        <v>3055</v>
      </c>
      <c r="H1319" s="14">
        <v>1</v>
      </c>
      <c r="I1319" s="10" t="s">
        <v>28</v>
      </c>
      <c r="J1319" s="1">
        <v>45590</v>
      </c>
      <c r="K1319" s="1">
        <v>45621</v>
      </c>
      <c r="L1319" s="26">
        <f ca="1">CLIENTES[[#This Row],[Fecha Vencimiento]]-$J$6</f>
        <v>26</v>
      </c>
      <c r="N1319" s="1" t="str">
        <f t="shared" ca="1" si="42"/>
        <v>Al dia</v>
      </c>
      <c r="O1319" s="19">
        <v>45590</v>
      </c>
      <c r="P1319" s="2"/>
      <c r="Q1319" s="2">
        <f t="shared" si="41"/>
        <v>-45590</v>
      </c>
    </row>
    <row r="1320" spans="3:17" x14ac:dyDescent="0.25">
      <c r="C1320" t="s">
        <v>2387</v>
      </c>
      <c r="D1320" t="s">
        <v>3056</v>
      </c>
      <c r="F1320" t="s">
        <v>35</v>
      </c>
      <c r="G1320" t="s">
        <v>3057</v>
      </c>
      <c r="H1320" s="14">
        <v>1</v>
      </c>
      <c r="I1320" s="10" t="s">
        <v>28</v>
      </c>
      <c r="J1320" s="1">
        <v>45589</v>
      </c>
      <c r="K1320" s="1">
        <v>45621</v>
      </c>
      <c r="L1320" s="26">
        <f ca="1">CLIENTES[[#This Row],[Fecha Vencimiento]]-$J$6</f>
        <v>26</v>
      </c>
      <c r="N1320" s="1" t="str">
        <f t="shared" ca="1" si="42"/>
        <v>Al dia</v>
      </c>
      <c r="O1320" s="19">
        <v>45620</v>
      </c>
      <c r="P1320" s="2"/>
      <c r="Q1320" s="2">
        <f t="shared" si="41"/>
        <v>-45620</v>
      </c>
    </row>
    <row r="1321" spans="3:17" x14ac:dyDescent="0.25">
      <c r="C1321" t="s">
        <v>3058</v>
      </c>
      <c r="D1321" t="s">
        <v>3059</v>
      </c>
      <c r="F1321" t="s">
        <v>35</v>
      </c>
      <c r="G1321" t="s">
        <v>3060</v>
      </c>
      <c r="H1321" s="14">
        <v>1</v>
      </c>
      <c r="I1321" s="10" t="s">
        <v>28</v>
      </c>
      <c r="J1321" s="1">
        <v>45577</v>
      </c>
      <c r="K1321" s="1">
        <v>45607</v>
      </c>
      <c r="L1321" s="26">
        <f ca="1">CLIENTES[[#This Row],[Fecha Vencimiento]]-$J$6</f>
        <v>12</v>
      </c>
      <c r="N1321" s="1" t="str">
        <f t="shared" ca="1" si="42"/>
        <v>Al dia</v>
      </c>
      <c r="O1321" s="19"/>
      <c r="P1321" s="2"/>
      <c r="Q1321" s="2">
        <f t="shared" si="41"/>
        <v>0</v>
      </c>
    </row>
    <row r="1322" spans="3:17" x14ac:dyDescent="0.25">
      <c r="C1322" t="s">
        <v>1189</v>
      </c>
      <c r="D1322" t="s">
        <v>3061</v>
      </c>
      <c r="E1322" s="10">
        <v>1124878127</v>
      </c>
      <c r="F1322" t="s">
        <v>35</v>
      </c>
      <c r="G1322" t="s">
        <v>3062</v>
      </c>
      <c r="H1322" s="14">
        <v>1</v>
      </c>
      <c r="I1322" s="10" t="s">
        <v>28</v>
      </c>
      <c r="J1322" s="1">
        <v>45590</v>
      </c>
      <c r="K1322" s="1">
        <v>45621</v>
      </c>
      <c r="L1322" s="26">
        <f ca="1">CLIENTES[[#This Row],[Fecha Vencimiento]]-$J$6</f>
        <v>26</v>
      </c>
      <c r="N1322" s="1" t="str">
        <f t="shared" ca="1" si="42"/>
        <v>Al dia</v>
      </c>
      <c r="O1322" s="19">
        <v>45621</v>
      </c>
      <c r="P1322" s="2"/>
      <c r="Q1322" s="2">
        <f t="shared" si="41"/>
        <v>-45621</v>
      </c>
    </row>
    <row r="1323" spans="3:17" x14ac:dyDescent="0.25">
      <c r="C1323" t="s">
        <v>953</v>
      </c>
      <c r="D1323" t="s">
        <v>3063</v>
      </c>
      <c r="F1323" t="s">
        <v>35</v>
      </c>
      <c r="G1323" t="s">
        <v>3064</v>
      </c>
      <c r="H1323" s="14">
        <v>1</v>
      </c>
      <c r="I1323" s="10" t="s">
        <v>28</v>
      </c>
      <c r="J1323" s="1">
        <v>45590</v>
      </c>
      <c r="K1323" s="1">
        <v>45621</v>
      </c>
      <c r="L1323" s="26">
        <f ca="1">CLIENTES[[#This Row],[Fecha Vencimiento]]-$J$6</f>
        <v>26</v>
      </c>
      <c r="N1323" s="1" t="str">
        <f t="shared" ca="1" si="42"/>
        <v>Al dia</v>
      </c>
      <c r="O1323" s="19">
        <v>45590</v>
      </c>
      <c r="P1323" s="2"/>
      <c r="Q1323" s="2">
        <f t="shared" si="41"/>
        <v>-45590</v>
      </c>
    </row>
    <row r="1324" spans="3:17" x14ac:dyDescent="0.25">
      <c r="C1324" t="s">
        <v>3065</v>
      </c>
      <c r="D1324" t="s">
        <v>2157</v>
      </c>
      <c r="F1324" t="s">
        <v>26</v>
      </c>
      <c r="G1324" t="s">
        <v>3066</v>
      </c>
      <c r="H1324" s="14">
        <v>1</v>
      </c>
      <c r="I1324" s="10" t="s">
        <v>28</v>
      </c>
      <c r="J1324" s="1">
        <v>45590</v>
      </c>
      <c r="K1324" s="1">
        <v>45622</v>
      </c>
      <c r="L1324" s="26">
        <f ca="1">CLIENTES[[#This Row],[Fecha Vencimiento]]-$J$6</f>
        <v>27</v>
      </c>
      <c r="N1324" s="1" t="str">
        <f t="shared" ca="1" si="42"/>
        <v>Al dia</v>
      </c>
      <c r="O1324" s="19">
        <v>45590</v>
      </c>
      <c r="P1324" s="2"/>
      <c r="Q1324" s="2">
        <f t="shared" si="41"/>
        <v>-45590</v>
      </c>
    </row>
    <row r="1325" spans="3:17" x14ac:dyDescent="0.25">
      <c r="C1325" t="s">
        <v>3067</v>
      </c>
      <c r="D1325" t="s">
        <v>1874</v>
      </c>
      <c r="E1325" s="10">
        <v>1125809217</v>
      </c>
      <c r="F1325" t="s">
        <v>35</v>
      </c>
      <c r="G1325" t="s">
        <v>3068</v>
      </c>
      <c r="H1325" s="14">
        <v>1</v>
      </c>
      <c r="I1325" s="10" t="s">
        <v>28</v>
      </c>
      <c r="J1325" s="1">
        <v>45590</v>
      </c>
      <c r="K1325" s="1">
        <v>45621</v>
      </c>
      <c r="L1325" s="26">
        <f ca="1">CLIENTES[[#This Row],[Fecha Vencimiento]]-$J$6</f>
        <v>26</v>
      </c>
      <c r="N1325" s="1" t="str">
        <f t="shared" ca="1" si="42"/>
        <v>Al dia</v>
      </c>
      <c r="O1325" s="19">
        <v>45590</v>
      </c>
      <c r="P1325" s="2"/>
      <c r="Q1325" s="2">
        <f t="shared" si="41"/>
        <v>-45590</v>
      </c>
    </row>
    <row r="1326" spans="3:17" x14ac:dyDescent="0.25">
      <c r="C1326" t="s">
        <v>2311</v>
      </c>
      <c r="D1326" t="s">
        <v>3069</v>
      </c>
      <c r="E1326" s="10">
        <v>1160077508</v>
      </c>
      <c r="F1326" t="s">
        <v>35</v>
      </c>
      <c r="G1326" t="s">
        <v>3070</v>
      </c>
      <c r="H1326" s="14">
        <v>1</v>
      </c>
      <c r="I1326" s="10" t="s">
        <v>28</v>
      </c>
      <c r="J1326" s="1">
        <v>45590</v>
      </c>
      <c r="K1326" s="1">
        <v>45621</v>
      </c>
      <c r="L1326" s="26">
        <f ca="1">CLIENTES[[#This Row],[Fecha Vencimiento]]-$J$6</f>
        <v>26</v>
      </c>
      <c r="N1326" s="1" t="str">
        <f t="shared" ca="1" si="42"/>
        <v>Al dia</v>
      </c>
      <c r="O1326" s="19">
        <v>45590</v>
      </c>
      <c r="P1326" s="2"/>
      <c r="Q1326" s="2">
        <f t="shared" si="41"/>
        <v>-45590</v>
      </c>
    </row>
    <row r="1327" spans="3:17" x14ac:dyDescent="0.25">
      <c r="C1327" t="s">
        <v>1262</v>
      </c>
      <c r="D1327" t="s">
        <v>109</v>
      </c>
      <c r="E1327" s="10">
        <v>1161155835</v>
      </c>
      <c r="F1327" t="s">
        <v>35</v>
      </c>
      <c r="G1327" t="s">
        <v>3071</v>
      </c>
      <c r="H1327" s="14">
        <v>1</v>
      </c>
      <c r="I1327" s="10" t="s">
        <v>28</v>
      </c>
      <c r="J1327" s="1">
        <v>45590</v>
      </c>
      <c r="K1327" s="1">
        <v>45621</v>
      </c>
      <c r="L1327" s="26">
        <f ca="1">CLIENTES[[#This Row],[Fecha Vencimiento]]-$J$6</f>
        <v>26</v>
      </c>
      <c r="N1327" s="1" t="str">
        <f t="shared" ca="1" si="42"/>
        <v>Al dia</v>
      </c>
      <c r="O1327" s="19">
        <v>45590</v>
      </c>
      <c r="P1327" s="2"/>
      <c r="Q1327" s="2">
        <f t="shared" si="41"/>
        <v>-45590</v>
      </c>
    </row>
    <row r="1328" spans="3:17" x14ac:dyDescent="0.25">
      <c r="C1328" t="s">
        <v>3072</v>
      </c>
      <c r="D1328" t="s">
        <v>3073</v>
      </c>
      <c r="F1328" t="s">
        <v>35</v>
      </c>
      <c r="G1328" t="s">
        <v>3074</v>
      </c>
      <c r="H1328" s="14">
        <v>1</v>
      </c>
      <c r="I1328" s="10" t="s">
        <v>28</v>
      </c>
      <c r="J1328" s="1">
        <v>45571</v>
      </c>
      <c r="K1328" s="1">
        <v>45602</v>
      </c>
      <c r="L1328" s="26">
        <f ca="1">CLIENTES[[#This Row],[Fecha Vencimiento]]-$J$6</f>
        <v>7</v>
      </c>
      <c r="N1328" s="1" t="str">
        <f t="shared" ref="N1328:N1344" ca="1" si="43">IF(L1328&lt;0,"Vencido",IF(L1328=0,"Vence hoy",IF(L1328&lt;4,"Por vencer","Al dia")))</f>
        <v>Al dia</v>
      </c>
      <c r="O1328" s="19">
        <v>45571</v>
      </c>
      <c r="P1328" s="2"/>
      <c r="Q1328" s="2">
        <f t="shared" si="41"/>
        <v>-45571</v>
      </c>
    </row>
    <row r="1329" spans="3:17" x14ac:dyDescent="0.25">
      <c r="C1329" t="s">
        <v>2405</v>
      </c>
      <c r="D1329" t="s">
        <v>2406</v>
      </c>
      <c r="E1329" s="10">
        <v>1135042029</v>
      </c>
      <c r="F1329" t="s">
        <v>35</v>
      </c>
      <c r="G1329" t="s">
        <v>3075</v>
      </c>
      <c r="H1329" s="14">
        <v>1</v>
      </c>
      <c r="I1329" s="10" t="s">
        <v>28</v>
      </c>
      <c r="J1329" s="1">
        <v>45591</v>
      </c>
      <c r="K1329" s="1">
        <v>45622</v>
      </c>
      <c r="L1329" s="26">
        <f ca="1">CLIENTES[[#This Row],[Fecha Vencimiento]]-$J$6</f>
        <v>27</v>
      </c>
      <c r="N1329" s="1" t="str">
        <f t="shared" ca="1" si="43"/>
        <v>Al dia</v>
      </c>
      <c r="O1329" s="19">
        <v>45591</v>
      </c>
      <c r="P1329" s="2"/>
      <c r="Q1329" s="2">
        <f t="shared" si="41"/>
        <v>-45591</v>
      </c>
    </row>
    <row r="1330" spans="3:17" x14ac:dyDescent="0.25">
      <c r="C1330" t="s">
        <v>1569</v>
      </c>
      <c r="D1330" t="s">
        <v>51</v>
      </c>
      <c r="E1330" s="10">
        <v>1123780496</v>
      </c>
      <c r="F1330" t="s">
        <v>35</v>
      </c>
      <c r="G1330" t="s">
        <v>3076</v>
      </c>
      <c r="H1330" s="14">
        <v>1</v>
      </c>
      <c r="I1330" s="10" t="s">
        <v>28</v>
      </c>
      <c r="J1330" t="s">
        <v>3077</v>
      </c>
      <c r="K1330" s="1">
        <v>45622</v>
      </c>
      <c r="L1330" s="26">
        <f ca="1">CLIENTES[[#This Row],[Fecha Vencimiento]]-$J$6</f>
        <v>27</v>
      </c>
      <c r="N1330" s="1" t="str">
        <f t="shared" ca="1" si="43"/>
        <v>Al dia</v>
      </c>
      <c r="O1330" s="19">
        <v>45591</v>
      </c>
      <c r="P1330" s="2"/>
      <c r="Q1330" s="2">
        <f t="shared" si="41"/>
        <v>-45591</v>
      </c>
    </row>
    <row r="1331" spans="3:17" x14ac:dyDescent="0.25">
      <c r="C1331" t="s">
        <v>1626</v>
      </c>
      <c r="D1331" t="s">
        <v>2718</v>
      </c>
      <c r="E1331" s="10">
        <v>1164603228</v>
      </c>
      <c r="F1331" t="s">
        <v>35</v>
      </c>
      <c r="G1331" t="s">
        <v>3078</v>
      </c>
      <c r="H1331" s="14">
        <v>1</v>
      </c>
      <c r="I1331" s="10" t="s">
        <v>28</v>
      </c>
      <c r="J1331" s="1">
        <v>45591</v>
      </c>
      <c r="K1331" s="1">
        <v>45622</v>
      </c>
      <c r="L1331" s="26">
        <f ca="1">CLIENTES[[#This Row],[Fecha Vencimiento]]-$J$6</f>
        <v>27</v>
      </c>
      <c r="N1331" s="1" t="str">
        <f t="shared" ca="1" si="43"/>
        <v>Al dia</v>
      </c>
      <c r="O1331" s="19">
        <v>45591</v>
      </c>
      <c r="P1331" s="2"/>
      <c r="Q1331" s="2">
        <f t="shared" si="41"/>
        <v>-45591</v>
      </c>
    </row>
    <row r="1332" spans="3:17" x14ac:dyDescent="0.25">
      <c r="C1332" t="s">
        <v>1654</v>
      </c>
      <c r="D1332" t="s">
        <v>3079</v>
      </c>
      <c r="F1332" t="s">
        <v>35</v>
      </c>
      <c r="G1332" t="s">
        <v>3080</v>
      </c>
      <c r="H1332" s="14">
        <v>1</v>
      </c>
      <c r="I1332" s="10" t="s">
        <v>28</v>
      </c>
      <c r="J1332" s="1">
        <v>45593</v>
      </c>
      <c r="K1332" s="1">
        <v>45624</v>
      </c>
      <c r="L1332" s="26">
        <f ca="1">CLIENTES[[#This Row],[Fecha Vencimiento]]-$J$6</f>
        <v>29</v>
      </c>
      <c r="N1332" s="1" t="str">
        <f t="shared" ca="1" si="43"/>
        <v>Al dia</v>
      </c>
      <c r="O1332" s="19">
        <v>45591</v>
      </c>
      <c r="P1332" s="2"/>
      <c r="Q1332" s="2">
        <f t="shared" si="41"/>
        <v>-45591</v>
      </c>
    </row>
    <row r="1333" spans="3:17" x14ac:dyDescent="0.25">
      <c r="C1333" t="s">
        <v>1569</v>
      </c>
      <c r="D1333" t="s">
        <v>3081</v>
      </c>
      <c r="E1333" s="10">
        <v>1165257650</v>
      </c>
      <c r="F1333" t="s">
        <v>35</v>
      </c>
      <c r="G1333" t="s">
        <v>3082</v>
      </c>
      <c r="H1333" s="14">
        <v>1</v>
      </c>
      <c r="I1333" s="10" t="s">
        <v>28</v>
      </c>
      <c r="J1333" s="1">
        <v>45593</v>
      </c>
      <c r="K1333" s="1">
        <v>45624</v>
      </c>
      <c r="L1333" s="26">
        <f ca="1">CLIENTES[[#This Row],[Fecha Vencimiento]]-$J$6</f>
        <v>29</v>
      </c>
      <c r="N1333" s="1" t="str">
        <f t="shared" ca="1" si="43"/>
        <v>Al dia</v>
      </c>
      <c r="O1333" s="19">
        <v>45624</v>
      </c>
      <c r="P1333" s="2"/>
      <c r="Q1333" s="2">
        <f t="shared" si="41"/>
        <v>-45624</v>
      </c>
    </row>
    <row r="1334" spans="3:17" x14ac:dyDescent="0.25">
      <c r="C1334" t="s">
        <v>2246</v>
      </c>
      <c r="D1334" t="s">
        <v>2247</v>
      </c>
      <c r="E1334" s="10">
        <v>1125964356</v>
      </c>
      <c r="F1334" t="s">
        <v>35</v>
      </c>
      <c r="G1334" t="s">
        <v>2248</v>
      </c>
      <c r="H1334" s="14">
        <v>2</v>
      </c>
      <c r="I1334" s="10" t="s">
        <v>28</v>
      </c>
      <c r="J1334" s="1">
        <v>45595</v>
      </c>
      <c r="K1334" s="1">
        <v>45653</v>
      </c>
      <c r="L1334" s="26">
        <f ca="1">CLIENTES[[#This Row],[Fecha Vencimiento]]-$J$6</f>
        <v>58</v>
      </c>
      <c r="N1334" s="1" t="str">
        <f t="shared" ca="1" si="43"/>
        <v>Al dia</v>
      </c>
      <c r="O1334" s="19"/>
      <c r="P1334" s="2"/>
      <c r="Q1334" s="2">
        <f t="shared" si="41"/>
        <v>0</v>
      </c>
    </row>
    <row r="1335" spans="3:17" x14ac:dyDescent="0.25">
      <c r="I1335" s="10"/>
      <c r="L1335" s="25">
        <v>0</v>
      </c>
      <c r="N1335" s="1" t="str">
        <f t="shared" si="43"/>
        <v>Vence hoy</v>
      </c>
      <c r="O1335" s="19"/>
      <c r="P1335" s="2"/>
      <c r="Q1335" s="2">
        <f t="shared" si="41"/>
        <v>0</v>
      </c>
    </row>
    <row r="1336" spans="3:17" x14ac:dyDescent="0.25">
      <c r="C1336" t="s">
        <v>364</v>
      </c>
      <c r="D1336" t="s">
        <v>365</v>
      </c>
      <c r="E1336" s="10">
        <v>1156296399</v>
      </c>
      <c r="F1336" t="s">
        <v>35</v>
      </c>
      <c r="G1336" t="s">
        <v>3010</v>
      </c>
      <c r="H1336" s="14">
        <v>1</v>
      </c>
      <c r="I1336" s="10" t="s">
        <v>28</v>
      </c>
      <c r="J1336" s="1">
        <v>45582</v>
      </c>
      <c r="K1336" s="1">
        <v>45613</v>
      </c>
      <c r="L1336" s="26">
        <f ca="1">CLIENTES[[#This Row],[Fecha Vencimiento]]-$J$6</f>
        <v>18</v>
      </c>
      <c r="N1336" s="1" t="str">
        <f t="shared" ca="1" si="43"/>
        <v>Al dia</v>
      </c>
      <c r="O1336" s="19">
        <v>45582</v>
      </c>
      <c r="P1336" s="2"/>
      <c r="Q1336" s="2">
        <f t="shared" si="41"/>
        <v>-45582</v>
      </c>
    </row>
    <row r="1337" spans="3:17" x14ac:dyDescent="0.25">
      <c r="C1337" t="s">
        <v>2413</v>
      </c>
      <c r="D1337" t="s">
        <v>3083</v>
      </c>
      <c r="E1337" s="10">
        <v>1132287994</v>
      </c>
      <c r="F1337" t="s">
        <v>35</v>
      </c>
      <c r="G1337" t="s">
        <v>3084</v>
      </c>
      <c r="H1337" s="14">
        <v>1</v>
      </c>
      <c r="I1337" s="10" t="s">
        <v>28</v>
      </c>
      <c r="J1337" s="1">
        <v>45594</v>
      </c>
      <c r="K1337" s="1">
        <v>45625</v>
      </c>
      <c r="L1337" s="26">
        <f ca="1">CLIENTES[[#This Row],[Fecha Vencimiento]]-$J$6</f>
        <v>30</v>
      </c>
      <c r="N1337" s="1" t="str">
        <f t="shared" ca="1" si="43"/>
        <v>Al dia</v>
      </c>
      <c r="O1337" s="19">
        <v>45594</v>
      </c>
      <c r="P1337" s="2"/>
      <c r="Q1337" s="2">
        <f t="shared" si="41"/>
        <v>-45594</v>
      </c>
    </row>
    <row r="1338" spans="3:17" x14ac:dyDescent="0.25">
      <c r="C1338" t="s">
        <v>3085</v>
      </c>
      <c r="D1338" t="s">
        <v>3086</v>
      </c>
      <c r="E1338">
        <v>1122851660</v>
      </c>
      <c r="F1338" t="s">
        <v>35</v>
      </c>
      <c r="G1338" t="s">
        <v>3088</v>
      </c>
      <c r="H1338" s="14">
        <v>1</v>
      </c>
      <c r="I1338" s="10" t="s">
        <v>28</v>
      </c>
      <c r="J1338" s="1">
        <v>45594</v>
      </c>
      <c r="K1338" s="1">
        <v>45625</v>
      </c>
      <c r="L1338" s="26">
        <f ca="1">CLIENTES[[#This Row],[Fecha Vencimiento]]-$J$6</f>
        <v>30</v>
      </c>
      <c r="N1338" s="1" t="str">
        <f t="shared" ca="1" si="43"/>
        <v>Al dia</v>
      </c>
      <c r="O1338" s="19">
        <v>45594</v>
      </c>
      <c r="P1338" s="2"/>
      <c r="Q1338" s="2">
        <f t="shared" si="41"/>
        <v>-45594</v>
      </c>
    </row>
    <row r="1339" spans="3:17" x14ac:dyDescent="0.25">
      <c r="C1339" s="28" t="s">
        <v>3089</v>
      </c>
      <c r="D1339" s="28" t="s">
        <v>3086</v>
      </c>
      <c r="E1339" s="10">
        <v>1122851660</v>
      </c>
      <c r="F1339" t="s">
        <v>35</v>
      </c>
      <c r="G1339" t="s">
        <v>3090</v>
      </c>
      <c r="H1339" s="14">
        <v>1</v>
      </c>
      <c r="I1339" s="10" t="s">
        <v>28</v>
      </c>
      <c r="J1339" s="1">
        <v>45594</v>
      </c>
      <c r="K1339" s="31">
        <v>45625</v>
      </c>
      <c r="L1339" s="26">
        <f ca="1">CLIENTES[[#This Row],[Fecha Vencimiento]]-$J$6</f>
        <v>30</v>
      </c>
      <c r="N1339" s="1" t="str">
        <f t="shared" ca="1" si="43"/>
        <v>Al dia</v>
      </c>
      <c r="O1339" s="19">
        <v>45594</v>
      </c>
      <c r="P1339" s="2"/>
      <c r="Q1339" s="2">
        <f t="shared" si="41"/>
        <v>-45594</v>
      </c>
    </row>
    <row r="1340" spans="3:17" x14ac:dyDescent="0.25">
      <c r="C1340" t="s">
        <v>108</v>
      </c>
      <c r="D1340" t="s">
        <v>3087</v>
      </c>
      <c r="E1340" s="10" t="s">
        <v>2931</v>
      </c>
      <c r="F1340" t="s">
        <v>35</v>
      </c>
      <c r="G1340" t="s">
        <v>2977</v>
      </c>
      <c r="H1340" s="14">
        <v>1</v>
      </c>
      <c r="I1340" s="10" t="s">
        <v>28</v>
      </c>
      <c r="J1340" s="1">
        <v>45594</v>
      </c>
      <c r="K1340" s="1">
        <v>45655</v>
      </c>
      <c r="L1340" s="26">
        <f ca="1">CLIENTES[[#This Row],[Fecha Vencimiento]]-$J$6</f>
        <v>60</v>
      </c>
      <c r="N1340" s="1" t="str">
        <f t="shared" ca="1" si="43"/>
        <v>Al dia</v>
      </c>
      <c r="O1340" s="19"/>
      <c r="P1340" s="2"/>
      <c r="Q1340" s="2">
        <f t="shared" si="41"/>
        <v>0</v>
      </c>
    </row>
    <row r="1341" spans="3:17" x14ac:dyDescent="0.25">
      <c r="C1341" t="s">
        <v>2029</v>
      </c>
      <c r="D1341" t="s">
        <v>3091</v>
      </c>
      <c r="E1341" s="10">
        <v>1133310786</v>
      </c>
      <c r="F1341" t="s">
        <v>35</v>
      </c>
      <c r="G1341" t="s">
        <v>3092</v>
      </c>
      <c r="H1341" s="14">
        <v>1</v>
      </c>
      <c r="I1341" s="10" t="s">
        <v>28</v>
      </c>
      <c r="J1341" s="1">
        <v>45594</v>
      </c>
      <c r="K1341" s="1">
        <v>45625</v>
      </c>
      <c r="L1341" s="26">
        <f ca="1">CLIENTES[[#This Row],[Fecha Vencimiento]]-$J$6</f>
        <v>30</v>
      </c>
      <c r="N1341" s="1" t="str">
        <f t="shared" ca="1" si="43"/>
        <v>Al dia</v>
      </c>
      <c r="O1341" s="19">
        <v>45594</v>
      </c>
      <c r="P1341" s="2"/>
      <c r="Q1341" s="2">
        <f t="shared" si="41"/>
        <v>-45594</v>
      </c>
    </row>
    <row r="1342" spans="3:17" x14ac:dyDescent="0.25">
      <c r="C1342" t="s">
        <v>2492</v>
      </c>
      <c r="D1342" t="s">
        <v>3093</v>
      </c>
      <c r="F1342" t="s">
        <v>35</v>
      </c>
      <c r="G1342" t="s">
        <v>3094</v>
      </c>
      <c r="H1342" s="14">
        <v>1</v>
      </c>
      <c r="I1342" s="10" t="s">
        <v>28</v>
      </c>
      <c r="J1342" s="1">
        <v>45594</v>
      </c>
      <c r="K1342" s="1">
        <v>45625</v>
      </c>
      <c r="L1342" s="26">
        <f ca="1">CLIENTES[[#This Row],[Fecha Vencimiento]]-$J$6</f>
        <v>30</v>
      </c>
      <c r="N1342" s="1" t="str">
        <f t="shared" ca="1" si="43"/>
        <v>Al dia</v>
      </c>
      <c r="O1342" s="19">
        <v>45594</v>
      </c>
      <c r="P1342" s="2"/>
      <c r="Q1342" s="2">
        <f t="shared" si="41"/>
        <v>-45594</v>
      </c>
    </row>
    <row r="1343" spans="3:17" x14ac:dyDescent="0.25">
      <c r="C1343" t="s">
        <v>1569</v>
      </c>
      <c r="D1343" t="s">
        <v>1263</v>
      </c>
      <c r="E1343" s="10">
        <v>1155053191</v>
      </c>
      <c r="F1343" t="s">
        <v>35</v>
      </c>
      <c r="G1343" t="s">
        <v>3095</v>
      </c>
      <c r="H1343" s="14">
        <v>1</v>
      </c>
      <c r="I1343" s="10" t="s">
        <v>28</v>
      </c>
      <c r="J1343" s="1">
        <v>45594</v>
      </c>
      <c r="K1343" s="1">
        <v>45625</v>
      </c>
      <c r="L1343" s="26">
        <f ca="1">CLIENTES[[#This Row],[Fecha Vencimiento]]-$J$6</f>
        <v>30</v>
      </c>
      <c r="N1343" s="1" t="str">
        <f t="shared" ca="1" si="43"/>
        <v>Al dia</v>
      </c>
      <c r="O1343" s="19">
        <v>45594</v>
      </c>
      <c r="P1343" s="2"/>
      <c r="Q1343" s="2">
        <f t="shared" si="41"/>
        <v>-45594</v>
      </c>
    </row>
    <row r="1344" spans="3:17" x14ac:dyDescent="0.25">
      <c r="C1344" t="s">
        <v>3096</v>
      </c>
      <c r="D1344" t="s">
        <v>374</v>
      </c>
      <c r="E1344" s="10">
        <v>1150006013</v>
      </c>
      <c r="F1344" t="s">
        <v>35</v>
      </c>
      <c r="G1344" t="s">
        <v>3097</v>
      </c>
      <c r="H1344" s="14">
        <v>1</v>
      </c>
      <c r="I1344" s="10" t="s">
        <v>28</v>
      </c>
      <c r="J1344" s="1">
        <v>45595</v>
      </c>
      <c r="K1344" s="1">
        <v>45626</v>
      </c>
      <c r="L1344" s="26">
        <f ca="1">CLIENTES[[#This Row],[Fecha Vencimiento]]-$J$6</f>
        <v>31</v>
      </c>
      <c r="N1344" s="1" t="str">
        <f t="shared" ca="1" si="43"/>
        <v>Al dia</v>
      </c>
      <c r="O1344" s="19">
        <v>45595</v>
      </c>
      <c r="P1344" s="2"/>
      <c r="Q1344" s="2">
        <f t="shared" si="41"/>
        <v>-45595</v>
      </c>
    </row>
    <row r="1345" spans="3:17" x14ac:dyDescent="0.25">
      <c r="C1345" t="s">
        <v>1262</v>
      </c>
      <c r="D1345" t="s">
        <v>3098</v>
      </c>
      <c r="F1345" t="s">
        <v>35</v>
      </c>
      <c r="G1345" t="s">
        <v>3099</v>
      </c>
      <c r="H1345" s="14">
        <v>1</v>
      </c>
      <c r="I1345" s="10" t="s">
        <v>28</v>
      </c>
      <c r="J1345" s="1">
        <v>45594</v>
      </c>
      <c r="K1345" s="1">
        <v>45625</v>
      </c>
      <c r="L1345" s="26">
        <f ca="1">CLIENTES[[#This Row],[Fecha Vencimiento]]-$J$6</f>
        <v>30</v>
      </c>
      <c r="N1345" s="1"/>
      <c r="O1345" s="19">
        <v>45594</v>
      </c>
      <c r="P1345" s="2"/>
      <c r="Q1345" s="2">
        <f t="shared" si="41"/>
        <v>-45594</v>
      </c>
    </row>
    <row r="1346" spans="3:17" x14ac:dyDescent="0.25">
      <c r="C1346" t="s">
        <v>857</v>
      </c>
      <c r="D1346" t="s">
        <v>858</v>
      </c>
      <c r="E1346" s="10">
        <v>1141424703</v>
      </c>
      <c r="F1346" t="s">
        <v>35</v>
      </c>
      <c r="G1346" t="s">
        <v>3100</v>
      </c>
      <c r="H1346" s="14">
        <v>1</v>
      </c>
      <c r="I1346" s="10" t="s">
        <v>28</v>
      </c>
      <c r="J1346" s="1">
        <v>45595</v>
      </c>
      <c r="K1346" s="1">
        <v>45626</v>
      </c>
      <c r="L1346" s="26">
        <f ca="1">CLIENTES[[#This Row],[Fecha Vencimiento]]-$J$6</f>
        <v>31</v>
      </c>
      <c r="N1346" s="1" t="str">
        <f ca="1">IF(L1346&lt;0,"Vencido",IF(L1346=0,"Vence hoy",IF(L1346&lt;4,"Por vencer","Al dia")))</f>
        <v>Al dia</v>
      </c>
      <c r="O1346" s="19">
        <v>45595</v>
      </c>
      <c r="P1346" s="2"/>
      <c r="Q1346" s="2">
        <f t="shared" si="41"/>
        <v>-45595</v>
      </c>
    </row>
    <row r="1347" spans="3:17" x14ac:dyDescent="0.25">
      <c r="C1347" t="s">
        <v>318</v>
      </c>
      <c r="D1347" t="s">
        <v>3101</v>
      </c>
      <c r="E1347" s="10">
        <v>1167372420</v>
      </c>
      <c r="F1347" t="s">
        <v>26</v>
      </c>
      <c r="G1347" t="s">
        <v>3102</v>
      </c>
      <c r="H1347" s="14">
        <v>1</v>
      </c>
      <c r="I1347" s="10" t="s">
        <v>28</v>
      </c>
      <c r="J1347" s="1">
        <v>45595</v>
      </c>
      <c r="K1347" s="1">
        <v>45626</v>
      </c>
      <c r="L1347" s="26">
        <v>3</v>
      </c>
      <c r="N1347" s="1" t="str">
        <f>IF(L1347&lt;0,"Vencido",IF(L1347=0,"Vence hoy",IF(L1347&lt;4,"Por vencer","Al dia")))</f>
        <v>Por vencer</v>
      </c>
      <c r="O1347" s="19">
        <v>45595</v>
      </c>
      <c r="P1347" s="2"/>
      <c r="Q1347" s="2">
        <f t="shared" si="41"/>
        <v>-45595</v>
      </c>
    </row>
    <row r="1348" spans="3:17" x14ac:dyDescent="0.25">
      <c r="C1348" t="s">
        <v>857</v>
      </c>
      <c r="D1348" t="s">
        <v>858</v>
      </c>
      <c r="E1348" s="10">
        <v>1141424703</v>
      </c>
      <c r="F1348" t="s">
        <v>26</v>
      </c>
      <c r="G1348" t="s">
        <v>3100</v>
      </c>
      <c r="H1348" s="14">
        <v>1</v>
      </c>
      <c r="I1348" s="10" t="s">
        <v>28</v>
      </c>
      <c r="J1348" s="1">
        <v>45595</v>
      </c>
      <c r="K1348" s="1">
        <v>45626</v>
      </c>
      <c r="L1348" s="25">
        <f ca="1">CLIENTES[[#This Row],[Fecha Vencimiento]]-$J$6</f>
        <v>31</v>
      </c>
      <c r="M1348" s="1"/>
      <c r="N1348" s="1" t="str">
        <f ca="1">IF(L1348&lt;0,"Vencido",IF(L1348=0,"Vence hoy",IF(L1348&lt;4,"Por vencer","Al dia")))</f>
        <v>Al dia</v>
      </c>
      <c r="O1348" s="19">
        <v>45595</v>
      </c>
      <c r="P1348" s="2"/>
      <c r="Q1348" s="2">
        <f t="shared" si="41"/>
        <v>-45595</v>
      </c>
    </row>
    <row r="1349" spans="3:17" x14ac:dyDescent="0.25">
      <c r="C1349" t="s">
        <v>857</v>
      </c>
      <c r="D1349" t="s">
        <v>871</v>
      </c>
      <c r="E1349" s="10">
        <v>1167372420</v>
      </c>
      <c r="F1349" t="s">
        <v>26</v>
      </c>
      <c r="G1349" t="s">
        <v>3103</v>
      </c>
      <c r="H1349" s="14">
        <v>1</v>
      </c>
      <c r="I1349" s="10" t="s">
        <v>28</v>
      </c>
      <c r="J1349" s="1">
        <v>45595</v>
      </c>
      <c r="K1349" s="1">
        <v>45626</v>
      </c>
      <c r="L1349" s="25">
        <f ca="1">CLIENTES[[#This Row],[Fecha Vencimiento]]-$J$6</f>
        <v>31</v>
      </c>
      <c r="N1349" s="1" t="str">
        <f ca="1">IF(L1349&lt;0,"Vencido",IF(L1349=0,"Vence hoy",IF(L1349&lt;4,"Por vencer","Al dia")))</f>
        <v>Al dia</v>
      </c>
      <c r="O1349" s="19">
        <v>45595</v>
      </c>
      <c r="P1349" s="2"/>
      <c r="Q1349" s="2">
        <f t="shared" si="41"/>
        <v>-45595</v>
      </c>
    </row>
    <row r="1350" spans="3:17" x14ac:dyDescent="0.25">
      <c r="C1350" t="s">
        <v>933</v>
      </c>
      <c r="D1350" t="s">
        <v>934</v>
      </c>
      <c r="F1350" t="s">
        <v>35</v>
      </c>
      <c r="G1350" t="s">
        <v>3104</v>
      </c>
      <c r="H1350" s="14">
        <v>2</v>
      </c>
      <c r="I1350" s="10" t="s">
        <v>28</v>
      </c>
      <c r="J1350" s="1">
        <v>45595</v>
      </c>
      <c r="K1350" s="1">
        <v>45627</v>
      </c>
      <c r="L1350" s="26">
        <f ca="1">CLIENTES[[#This Row],[Fecha Vencimiento]]-$J$6</f>
        <v>32</v>
      </c>
      <c r="N1350" s="1" t="str">
        <f ca="1">IF(L1350&lt;0,"Vencido",IF(L1350=0,"Vence hoy",IF(L1350&lt;4,"Por vencer","Al dia")))</f>
        <v>Al dia</v>
      </c>
      <c r="O1350" s="19"/>
      <c r="P1350" s="2"/>
      <c r="Q1350" s="2">
        <f t="shared" si="41"/>
        <v>0</v>
      </c>
    </row>
  </sheetData>
  <sheetProtection formatCells="0" formatColumns="0" formatRows="0" deleteColumns="0"/>
  <phoneticPr fontId="3" type="noConversion"/>
  <conditionalFormatting sqref="M273:Q274 C273:K274 M287:Q287 C295:K295 M295:Q295 C281:K282 M281:Q282 M289:Q292 C289:K292 C287:K287 C421:K421 C428:K430 M428:Q430 M424:Q425 C424:K425 M421:Q421 C740:G740 M740:Q740 I740 C712:K712 M712:Q712 C698:K698 M706:Q706 C706:K706 M698:Q698 M746:Q747 C746:K747 M842:Q843 C842:K843 M962:Q962 C962:K962 C967:K967 M967:Q967 M975:Q976 C975:K976 E979:E980">
    <cfRule type="expression" dxfId="1050" priority="65201">
      <formula>AND($L273&gt;0,$L273&lt;4)</formula>
    </cfRule>
    <cfRule type="expression" dxfId="1049" priority="65202">
      <formula>$L273&lt;0</formula>
    </cfRule>
    <cfRule type="expression" dxfId="1048" priority="65203">
      <formula>$L273=0</formula>
    </cfRule>
    <cfRule type="expression" dxfId="1047" priority="65204">
      <formula>$L$76:$L224&gt;=4</formula>
    </cfRule>
  </conditionalFormatting>
  <conditionalFormatting sqref="M277:Q279 C277:K279 M431:Q434 C431:K434 M701:Q701 C701:K701 M699:Q699 C699:K699 C734:K735 M734:Q735 M715:Q716 C723:K724 M723:Q724 C715:K716 F726:K727 M726:Q727 C726:D727 M703:Q704 C703:K704 M959:Q961 C959:K961">
    <cfRule type="expression" dxfId="1046" priority="66597">
      <formula>AND($L277&gt;0,$L277&lt;4)</formula>
    </cfRule>
    <cfRule type="expression" dxfId="1045" priority="66598">
      <formula>$L277&lt;0</formula>
    </cfRule>
    <cfRule type="expression" dxfId="1044" priority="66599">
      <formula>$L277=0</formula>
    </cfRule>
    <cfRule type="expression" dxfId="1043" priority="66600">
      <formula>$L$76:$L230&gt;=4</formula>
    </cfRule>
  </conditionalFormatting>
  <conditionalFormatting sqref="C288:K288 M288:Q288 M557:Q559 C557:K559 M562:Q564 C562:K564 M705:Q705 C705:K705 C702:K702 M702:Q702 M700:Q700 C700:K700 C736:K736 C737:D737 F737:K737 C733:K733 M741:Q741 C741:K741 M733:Q733 F728:K728 C728:D728 C729:K729 C708:K711 M708:Q711 M728:Q729 M736:Q739 C738:K739 C974:K974 M974:Q974">
    <cfRule type="expression" dxfId="1042" priority="66905">
      <formula>AND($L288&gt;0,$L288&lt;4)</formula>
    </cfRule>
    <cfRule type="expression" dxfId="1041" priority="66906">
      <formula>$L288&lt;0</formula>
    </cfRule>
    <cfRule type="expression" dxfId="1040" priority="66907">
      <formula>$L288=0</formula>
    </cfRule>
    <cfRule type="expression" dxfId="1039" priority="66908">
      <formula>$L$76:$L240&gt;=4</formula>
    </cfRule>
  </conditionalFormatting>
  <conditionalFormatting sqref="C718:K718 C721:D721 M725:Q725 C725:K725 C722:K722 M722:Q722 M718:Q718">
    <cfRule type="expression" dxfId="1038" priority="67813">
      <formula>AND($L718&gt;0,$L718&lt;4)</formula>
    </cfRule>
    <cfRule type="expression" dxfId="1037" priority="67814">
      <formula>$L718&lt;0</formula>
    </cfRule>
    <cfRule type="expression" dxfId="1036" priority="67815">
      <formula>$L718=0</formula>
    </cfRule>
    <cfRule type="expression" dxfId="1035" priority="67816">
      <formula>$L$76:$L672&gt;=4</formula>
    </cfRule>
  </conditionalFormatting>
  <conditionalFormatting sqref="M730:Q730 C730:K730 M717:Q717 C720:K720 E721:K721 C717:K717 C713:K714 M713:Q714 M720:Q721">
    <cfRule type="expression" dxfId="1034" priority="70077">
      <formula>AND($L713&gt;0,$L713&lt;4)</formula>
    </cfRule>
    <cfRule type="expression" dxfId="1033" priority="70078">
      <formula>$L713&lt;0</formula>
    </cfRule>
    <cfRule type="expression" dxfId="1032" priority="70079">
      <formula>$L713=0</formula>
    </cfRule>
    <cfRule type="expression" dxfId="1031" priority="70080">
      <formula>$L$76:$L668&gt;=4</formula>
    </cfRule>
  </conditionalFormatting>
  <conditionalFormatting sqref="M731:Q731 C731:K731 M719:Q719 C719:K719">
    <cfRule type="expression" dxfId="1030" priority="70153">
      <formula>AND($L719&gt;0,$L719&lt;4)</formula>
    </cfRule>
    <cfRule type="expression" dxfId="1029" priority="70154">
      <formula>$L719&lt;0</formula>
    </cfRule>
    <cfRule type="expression" dxfId="1028" priority="70155">
      <formula>$L719=0</formula>
    </cfRule>
    <cfRule type="expression" dxfId="1027" priority="70156">
      <formula>$L$76:$L675&gt;=4</formula>
    </cfRule>
  </conditionalFormatting>
  <conditionalFormatting sqref="M275:Q276 C275:K276 M269:Q269 M271:Q272 C271:K272 C263:K265 M263:Q265 C269:K269 E297:K298 M297:Q298 C419:K420 M419:Q420 C435:K436 M435:Q436 M365:Q366 C365:K366 M403:Q403 C403:K403 H740 J740:K740 M732:Q732 C732:K732 F836 C836:D836 M693:Q696 C693:K696 M837:Q839 C837:K839 M973:Q973 C973:K973">
    <cfRule type="expression" dxfId="1026" priority="90449">
      <formula>AND($L263&gt;0,$L263&lt;4)</formula>
    </cfRule>
    <cfRule type="expression" dxfId="1025" priority="90450">
      <formula>$L263&lt;0</formula>
    </cfRule>
    <cfRule type="expression" dxfId="1024" priority="90451">
      <formula>$L263=0</formula>
    </cfRule>
    <cfRule type="expression" dxfId="1023" priority="90452">
      <formula>$L$76:$L212&gt;=4</formula>
    </cfRule>
  </conditionalFormatting>
  <conditionalFormatting sqref="C268:K268 C270:K270 M270:Q270 M268:Q268 M280:Q280 M293:Q294 C293:K294 C280:K280 C407:D407 F407:K407 M407:Q407 C565:K565 M565:Q565 C426:K427 M426:Q427 C560:K561 M560:Q561 M707:Q707 C707:K707 M748:Q748 D748:K748 F744:K745 C742:K743 M742:Q745 C744:D745 M844:Q845 C844:K845 M963:Q965 C963:K965 M977:Q978 C971:K972 M971:Q972 C977:K978">
    <cfRule type="expression" dxfId="1022" priority="91893">
      <formula>AND($L268&gt;0,$L268&lt;4)</formula>
    </cfRule>
    <cfRule type="expression" dxfId="1021" priority="91894">
      <formula>$L268&lt;0</formula>
    </cfRule>
    <cfRule type="expression" dxfId="1020" priority="91895">
      <formula>$L268=0</formula>
    </cfRule>
    <cfRule type="expression" dxfId="1019" priority="91896">
      <formula>$L$76:$L218&gt;=4</formula>
    </cfRule>
  </conditionalFormatting>
  <conditionalFormatting sqref="C259:K259 M252:Q253 C252:K253 M259:Q259 M284:Q286 C284:K286 C297:D298 M439:Q439 C442:K442 C439:K439 C418:K418 M442:Q442 M418:Q418 M362:Q363 C362:K363 C369:K371 M369:Q371 C751:K751 C748 M751:Q751 M848:Q848 C848:K848 C983 C968:K968 M968:Q968">
    <cfRule type="expression" dxfId="1018" priority="94453">
      <formula>AND($L252&gt;0,$L252&lt;4)</formula>
    </cfRule>
    <cfRule type="expression" dxfId="1017" priority="94454">
      <formula>$L252&lt;0</formula>
    </cfRule>
    <cfRule type="expression" dxfId="1016" priority="94455">
      <formula>$L252=0</formula>
    </cfRule>
    <cfRule type="expression" dxfId="1015" priority="94456">
      <formula>$L$76:$L198&gt;=4</formula>
    </cfRule>
  </conditionalFormatting>
  <conditionalFormatting sqref="C266:K266 M266:Q266 C260:K262 M260:Q262 E267 M296:Q296 C296:K296 C556:K556 M556:Q556 C437:K437 M437:Q437 M414:Q416 C414:K416 N410 C566:K567 M566:Q567 M367:Q367 C367:K367 M402:Q402 C402:K402 M404:Q406 C404:K406 C749:K749 M749:Q749 C846:K846 M846:Q846 C840:K841 M840:Q841 M970:Q970 C966:K966 M966:Q966 C970:K970 M981:Q982 C981:K982">
    <cfRule type="expression" dxfId="1014" priority="94529">
      <formula>AND($L260&gt;0,$L260&lt;4)</formula>
    </cfRule>
    <cfRule type="expression" dxfId="1013" priority="94530">
      <formula>$L260&lt;0</formula>
    </cfRule>
    <cfRule type="expression" dxfId="1012" priority="94531">
      <formula>$L260=0</formula>
    </cfRule>
    <cfRule type="expression" dxfId="1011" priority="94532">
      <formula>$L$76:$L208&gt;=4</formula>
    </cfRule>
  </conditionalFormatting>
  <conditionalFormatting sqref="C51:K51 M51:Q51">
    <cfRule type="expression" dxfId="1010" priority="776633">
      <formula>AND($L51&gt;0,$L51&lt;4)</formula>
    </cfRule>
    <cfRule type="expression" dxfId="1009" priority="776634">
      <formula>$L51&lt;0</formula>
    </cfRule>
    <cfRule type="expression" dxfId="1008" priority="776635">
      <formula>$L51=0</formula>
    </cfRule>
    <cfRule type="expression" dxfId="1007" priority="776636">
      <formula>$L34:$L$35&gt;=4</formula>
    </cfRule>
  </conditionalFormatting>
  <conditionalFormatting sqref="M46:Q50 C45 C46:K48 M25:Q33 C25:K33 L639:L663 L168:L199 L303:L315 L44:L46 L49 L51 L58:L59 L64 L66:L68 L71:L82 L207:L244 L293:L300 L384:L402 L334:L362 L582:L605">
    <cfRule type="expression" dxfId="1006" priority="776685">
      <formula>AND($L25&gt;0,$L25&lt;4)</formula>
    </cfRule>
    <cfRule type="expression" dxfId="1005" priority="776686">
      <formula>$L25&lt;0</formula>
    </cfRule>
    <cfRule type="expression" dxfId="1004" priority="776687">
      <formula>$L25=0</formula>
    </cfRule>
    <cfRule type="expression" dxfId="1003" priority="776688">
      <formula>#REF!&gt;=4</formula>
    </cfRule>
  </conditionalFormatting>
  <conditionalFormatting sqref="C49:K50">
    <cfRule type="expression" dxfId="1002" priority="776725">
      <formula>AND($L49&gt;0,$L49&lt;4)</formula>
    </cfRule>
    <cfRule type="expression" dxfId="1001" priority="776726">
      <formula>$L49&lt;0</formula>
    </cfRule>
    <cfRule type="expression" dxfId="1000" priority="776727">
      <formula>$L49=0</formula>
    </cfRule>
    <cfRule type="expression" dxfId="999" priority="776728">
      <formula>#REF!&gt;=4</formula>
    </cfRule>
  </conditionalFormatting>
  <conditionalFormatting sqref="F23:K23 C23:D23 M19:Q19">
    <cfRule type="expression" dxfId="998" priority="776829">
      <formula>AND($L19&gt;0,$L19&lt;4)</formula>
    </cfRule>
    <cfRule type="expression" dxfId="997" priority="776830">
      <formula>$L19&lt;0</formula>
    </cfRule>
    <cfRule type="expression" dxfId="996" priority="776831">
      <formula>$L19=0</formula>
    </cfRule>
    <cfRule type="expression" dxfId="995" priority="776832">
      <formula>$L8:$L$18&gt;=4</formula>
    </cfRule>
  </conditionalFormatting>
  <conditionalFormatting sqref="C8:Q8 C9:K9 M9:Q9 L9:L11">
    <cfRule type="expression" dxfId="994" priority="781501">
      <formula>AND($L8&gt;0,$L8&lt;4)</formula>
    </cfRule>
    <cfRule type="expression" dxfId="993" priority="781502">
      <formula>$L8&lt;0</formula>
    </cfRule>
    <cfRule type="expression" dxfId="992" priority="781503">
      <formula>$L8=0</formula>
    </cfRule>
    <cfRule type="expression" dxfId="991" priority="781504">
      <formula>$L7:$L$8&gt;=4</formula>
    </cfRule>
  </conditionalFormatting>
  <conditionalFormatting sqref="C59:K60 M59:Q60 C74:K75 M74:Q75">
    <cfRule type="expression" dxfId="990" priority="851025">
      <formula>AND($L59&gt;0,$L59&lt;4)</formula>
    </cfRule>
    <cfRule type="expression" dxfId="989" priority="851026">
      <formula>$L59&lt;0</formula>
    </cfRule>
    <cfRule type="expression" dxfId="988" priority="851027">
      <formula>$L59=0</formula>
    </cfRule>
    <cfRule type="expression" dxfId="987" priority="851028">
      <formula>$L35:$L$54&gt;=4</formula>
    </cfRule>
  </conditionalFormatting>
  <conditionalFormatting sqref="C147:K150 M147:Q150">
    <cfRule type="expression" dxfId="986" priority="858773">
      <formula>AND($L147&gt;0,$L147&lt;4)</formula>
    </cfRule>
    <cfRule type="expression" dxfId="985" priority="858774">
      <formula>$L147&lt;0</formula>
    </cfRule>
    <cfRule type="expression" dxfId="984" priority="858775">
      <formula>$L147=0</formula>
    </cfRule>
    <cfRule type="expression" dxfId="983" priority="858776">
      <formula>#REF!&gt;=4</formula>
    </cfRule>
  </conditionalFormatting>
  <conditionalFormatting sqref="F13:K13 C12:K12 C13:D13 M12:Q13">
    <cfRule type="expression" dxfId="982" priority="891997">
      <formula>AND($L12&gt;0,$L12&lt;4)</formula>
    </cfRule>
    <cfRule type="expression" dxfId="981" priority="891998">
      <formula>$L12&lt;0</formula>
    </cfRule>
    <cfRule type="expression" dxfId="980" priority="891999">
      <formula>$L12=0</formula>
    </cfRule>
    <cfRule type="expression" dxfId="979" priority="892000">
      <formula>$L9:$L$10&gt;=4</formula>
    </cfRule>
  </conditionalFormatting>
  <conditionalFormatting sqref="C267:D267 M267:Q267 C257:K258 M257:Q258 F267:K267 C283:K283 M283:Q283 C368:K368 M368:Q368 C413:K413 M417:Q417 C438:K438 M438:Q438 C417:K417 C422:K423 M422:Q423 C440:K441 M440:Q441 M413:Q413 G443:K444 E443:E444 M443:Q444 M568:Q569 C568:K569 M697:Q697 C697:K697 M750:Q750 C750:K750 C847:K847 M847:Q847 D983:K983 M983:Q983 M958:Q958 C958:K958 C979:D980 M979:Q980 F979:K980">
    <cfRule type="expression" dxfId="978" priority="1092685">
      <formula>AND($L257&gt;0,$L257&lt;4)</formula>
    </cfRule>
    <cfRule type="expression" dxfId="977" priority="1092686">
      <formula>$L257&lt;0</formula>
    </cfRule>
    <cfRule type="expression" dxfId="976" priority="1092687">
      <formula>$L257=0</formula>
    </cfRule>
    <cfRule type="expression" dxfId="975" priority="1092688">
      <formula>$L$76:$L204&gt;=4</formula>
    </cfRule>
  </conditionalFormatting>
  <conditionalFormatting sqref="M254:Q254 C254:K254 M299:Q303 C299:K303 E500 C570:K572 M570:Q572 C386:K386 M386:Q386 M361:Q361 C361:K361 M752:Q753 C752:K753 M849:Q851 C849:K851 C984:K984 M984:Q984 C969:K969 M969:Q969">
    <cfRule type="expression" dxfId="974" priority="1129985">
      <formula>AND($L254&gt;0,$L254&lt;4)</formula>
    </cfRule>
    <cfRule type="expression" dxfId="973" priority="1129986">
      <formula>$L254&lt;0</formula>
    </cfRule>
    <cfRule type="expression" dxfId="972" priority="1129987">
      <formula>$L254=0</formula>
    </cfRule>
    <cfRule type="expression" dxfId="971" priority="1129988">
      <formula>$L$76:$L199&gt;=4</formula>
    </cfRule>
  </conditionalFormatting>
  <conditionalFormatting sqref="M245:Q245 M255:Q256 C255:K256 C245:K245 C448:K448 M448:Q448 E524 F443:F444 C443:D444 C446:K446 M446:Q446 C548:K549 M548:Q549 M387:Q387 F372:K372 D372 C364:K364 M364:Q364 C387:D387 F387:K387 M372:Q374 D373:K374 F399:K399 C399:D399 C401:K401 M401:Q401 M399:Q399 C754:K754 M754:Q754 C692:K692 M690:Q690 C690:K690 M692:Q692 M985:Q985 C985:K985 H987">
    <cfRule type="expression" dxfId="970" priority="1135289">
      <formula>AND($L245&gt;0,$L245&lt;4)</formula>
    </cfRule>
    <cfRule type="expression" dxfId="969" priority="1135290">
      <formula>$L245&lt;0</formula>
    </cfRule>
    <cfRule type="expression" dxfId="968" priority="1135291">
      <formula>$L245=0</formula>
    </cfRule>
    <cfRule type="expression" dxfId="967" priority="1135292">
      <formula>$L$76:$L189&gt;=4</formula>
    </cfRule>
  </conditionalFormatting>
  <conditionalFormatting sqref="M244:Q244 C244:K244 M550:Q550 D550:K550 M447:Q447 C447:K447 C537:K537 M537:Q537 C445:K445 M445:Q445 C449:K451 M449:Q451 M576:Q581 M573:Q574 C573:K574 C576:K581 C372:C374 C398:K398 C400:K400 M400:Q400 M398:Q398 M388:Q389 C388:K389 C755:K755 M755:Q755 M691:Q691 C691:K691 M852:Q852 C852:K852 M854:Q855 C854:K855 C986:K986 M986:Q986 E915:E917">
    <cfRule type="expression" dxfId="966" priority="1147701">
      <formula>AND($L244&gt;0,$L244&lt;4)</formula>
    </cfRule>
    <cfRule type="expression" dxfId="965" priority="1147702">
      <formula>$L244&lt;0</formula>
    </cfRule>
    <cfRule type="expression" dxfId="964" priority="1147703">
      <formula>$L244=0</formula>
    </cfRule>
    <cfRule type="expression" dxfId="963" priority="1147704">
      <formula>$L$76:$L187&gt;=4</formula>
    </cfRule>
  </conditionalFormatting>
  <conditionalFormatting sqref="D160:K160 M164:Q165 M160:Q160 C162:K162 M162:Q162 C164:K165">
    <cfRule type="expression" dxfId="962" priority="1174421">
      <formula>AND($L160&gt;0,$L160&lt;4)</formula>
    </cfRule>
    <cfRule type="expression" dxfId="961" priority="1174422">
      <formula>$L160&lt;0</formula>
    </cfRule>
    <cfRule type="expression" dxfId="960" priority="1174423">
      <formula>$L160=0</formula>
    </cfRule>
    <cfRule type="expression" dxfId="959" priority="1174424">
      <formula>$L78:$L$90&gt;=4</formula>
    </cfRule>
  </conditionalFormatting>
  <conditionalFormatting sqref="C159:K159 M159:Q159 C163:K163">
    <cfRule type="expression" dxfId="958" priority="1184537">
      <formula>AND($L159&gt;0,$L159&lt;4)</formula>
    </cfRule>
    <cfRule type="expression" dxfId="957" priority="1184538">
      <formula>$L159&lt;0</formula>
    </cfRule>
    <cfRule type="expression" dxfId="956" priority="1184539">
      <formula>$L159=0</formula>
    </cfRule>
    <cfRule type="expression" dxfId="955" priority="1184540">
      <formula>$L76:$L$90&gt;=4</formula>
    </cfRule>
  </conditionalFormatting>
  <conditionalFormatting sqref="C216:D216 F216:K216 C217:K217 M216:Q217 C575:K575 M575:Q575 C452:K452 M452:Q452 C538:K539 M538:Q539 M541:Q543 C541:K543 D375:K375 M375:Q375 E407 C390:K391 M390:Q391 E399 C756:K756 M756:Q756 M853:Q853 C834:K834 C829:K829 F835:K835 E836 G836:K836 C835:D835 M829:Q829 C853:K853 M834:Q836 C856:K857 M856:Q857 C865:K866 M865:Q866 C987:G987 I987:K987 C988:K988 M957:Q957 C957:K957 M987:Q988">
    <cfRule type="expression" dxfId="954" priority="1186241">
      <formula>AND($L216&gt;0,$L216&lt;4)</formula>
    </cfRule>
    <cfRule type="expression" dxfId="953" priority="1186242">
      <formula>$L216&lt;0</formula>
    </cfRule>
    <cfRule type="expression" dxfId="952" priority="1186243">
      <formula>$L216=0</formula>
    </cfRule>
    <cfRule type="expression" dxfId="951" priority="1186244">
      <formula>$L$76:$L158&gt;=4</formula>
    </cfRule>
  </conditionalFormatting>
  <conditionalFormatting sqref="C151:K151">
    <cfRule type="expression" dxfId="950" priority="1210753">
      <formula>AND($L151&gt;0,$L151&lt;4)</formula>
    </cfRule>
    <cfRule type="expression" dxfId="949" priority="1210754">
      <formula>$L151&lt;0</formula>
    </cfRule>
    <cfRule type="expression" dxfId="948" priority="1210755">
      <formula>$L151=0</formula>
    </cfRule>
    <cfRule type="expression" dxfId="947" priority="1210756">
      <formula>$L76:$L$87&gt;=4</formula>
    </cfRule>
  </conditionalFormatting>
  <conditionalFormatting sqref="C161:K161 M161:Q161 C160">
    <cfRule type="expression" dxfId="946" priority="1217189">
      <formula>AND($L160&gt;0,$L160&lt;4)</formula>
    </cfRule>
    <cfRule type="expression" dxfId="945" priority="1217190">
      <formula>$L160&lt;0</formula>
    </cfRule>
    <cfRule type="expression" dxfId="944" priority="1217191">
      <formula>$L160=0</formula>
    </cfRule>
    <cfRule type="expression" dxfId="943" priority="1217192">
      <formula>$L79:$L$90&gt;=4</formula>
    </cfRule>
  </conditionalFormatting>
  <conditionalFormatting sqref="M120:Q120 M123:Q123 C123:K123">
    <cfRule type="expression" dxfId="942" priority="1235425">
      <formula>AND($L120&gt;0,$L120&lt;4)</formula>
    </cfRule>
    <cfRule type="expression" dxfId="941" priority="1235426">
      <formula>$L120&lt;0</formula>
    </cfRule>
    <cfRule type="expression" dxfId="940" priority="1235427">
      <formula>$L120=0</formula>
    </cfRule>
    <cfRule type="expression" dxfId="939" priority="1235428">
      <formula>$L59:$L$76&gt;=4</formula>
    </cfRule>
  </conditionalFormatting>
  <conditionalFormatting sqref="M200:Q202 C200:K202 M218:Q223 M243:Q243 C251:K251 M251:Q251 M225:Q229 C225:K229 C246:K249 M246:Q249 M239:Q241 C239:K241 C243:K243 C218:K223 C318:K319 M318:Q319 C305:K305 M305:Q305 C550 M540:Q540 C540:K540 M547:Q547 C547:K547 C454:K455 M454:Q455 M551:Q554 C551:K554 C376:K376 C375 M376:Q376 M393:Q393 C395:K397 M395:Q397 C393:K393 C689:K689 M689:Q689 C830:K830 E835 M830:Q830 C832:K833 M832:Q833 M956:Q956 C956:K956 M989:Q990 C989:K990">
    <cfRule type="expression" dxfId="938" priority="1260953">
      <formula>AND($L200&gt;0,$L200&lt;4)</formula>
    </cfRule>
    <cfRule type="expression" dxfId="937" priority="1260954">
      <formula>$L200&lt;0</formula>
    </cfRule>
    <cfRule type="expression" dxfId="936" priority="1260955">
      <formula>$L200=0</formula>
    </cfRule>
    <cfRule type="expression" dxfId="935" priority="1260956">
      <formula>$L$76:$L141&gt;=4</formula>
    </cfRule>
  </conditionalFormatting>
  <conditionalFormatting sqref="C61:K61 M61:Q61">
    <cfRule type="expression" dxfId="934" priority="1266373">
      <formula>AND($L61&gt;0,$L61&lt;4)</formula>
    </cfRule>
    <cfRule type="expression" dxfId="933" priority="1266374">
      <formula>$L61&lt;0</formula>
    </cfRule>
    <cfRule type="expression" dxfId="932" priority="1266375">
      <formula>$L61=0</formula>
    </cfRule>
    <cfRule type="expression" dxfId="931" priority="1266376">
      <formula>$L38:$L$54&gt;=4</formula>
    </cfRule>
  </conditionalFormatting>
  <conditionalFormatting sqref="M215:Q215 C215:K215 C192:K192 M192:Q192 C203:K203 M203:Q203 M224:Q224 C224:K224 M242:Q242 C233:C234 M230:Q231 C230:K231 C242:K242 C345:K345 C307:K307 C310:K311 M310:Q311 C322:K324 M322:Q324 M307:Q307 M345:Q345 C465:K465 M465:Q465 C546:K546 M546:Q546 C468:K469 M468:Q469 M471:Q472 C471:K472 C461:K463 M461:Q463 C360:K360 M360:Q360 C761:K761 M761:Q761 M759:Q759 D759:K759 E728 C872:K872 M872:Q872 M868:Q868 C868:K868 C864:K864 M828:Q828 C828:K828 M864:Q864 M768:Q770 C768:K770 M680:Q682 C680:K682 C589:K589 M589:Q589 C999:K999 D1000:K1000 C992:K993 M992:Q993 M999:Q1000">
    <cfRule type="expression" dxfId="930" priority="1280705">
      <formula>AND($L192&gt;0,$L192&lt;4)</formula>
    </cfRule>
    <cfRule type="expression" dxfId="929" priority="1280706">
      <formula>$L192&lt;0</formula>
    </cfRule>
    <cfRule type="expression" dxfId="928" priority="1280707">
      <formula>$L192=0</formula>
    </cfRule>
    <cfRule type="expression" dxfId="927" priority="1280708">
      <formula>$L$76:$L131&gt;=4</formula>
    </cfRule>
  </conditionalFormatting>
  <conditionalFormatting sqref="C191:K191 M191:Q191 M198:Q199 C198:K199 C250:K250 M235:Q238 C235:K238 M250:Q250 C306:K306 C304:K304 C309:K309 M309:Q309 C320:K321 M320:Q321 M304:Q304 M346:Q348 C346:K348 M306:Q306 M377:Q378 C377:K378 M394:Q394 C394:K394 C392:K392 M392:Q392 M555:Q555 C555:K555 M470:Q470 M464:Q464 C464:K464 M467:Q467 C453:K453 M453:Q453 D467:K467 C470:K470 C456:K458 M456:Q458 M544:Q545 C544:K545 E598 C688:K688 M688:Q688 C867:K867 M867:Q867 C831:K831 M831:Q831 E726:E727 C757:K758 M757:Q758 M858:Q860 C858:K860 M873:Q874 C873:K874 M870:Q871 C870:K871 C955:K955 M955:Q955 C991:K991 M991:Q991">
    <cfRule type="expression" dxfId="926" priority="1284573">
      <formula>AND($L191&gt;0,$L191&lt;4)</formula>
    </cfRule>
    <cfRule type="expression" dxfId="925" priority="1284574">
      <formula>$L191&lt;0</formula>
    </cfRule>
    <cfRule type="expression" dxfId="924" priority="1284575">
      <formula>$L191=0</formula>
    </cfRule>
    <cfRule type="expression" dxfId="923" priority="1284576">
      <formula>$L$76:$L131&gt;=4</formula>
    </cfRule>
  </conditionalFormatting>
  <conditionalFormatting sqref="C120:K120">
    <cfRule type="expression" dxfId="922" priority="1330093">
      <formula>AND($L120&gt;0,$L120&lt;4)</formula>
    </cfRule>
    <cfRule type="expression" dxfId="921" priority="1330094">
      <formula>$L120&lt;0</formula>
    </cfRule>
    <cfRule type="expression" dxfId="920" priority="1330095">
      <formula>$L120=0</formula>
    </cfRule>
    <cfRule type="expression" dxfId="919" priority="1330096">
      <formula>$L59:$L$76&gt;=4</formula>
    </cfRule>
  </conditionalFormatting>
  <conditionalFormatting sqref="M65:Q65 D65:K65 M68:Q68 C68:K68 M72:Q73 C72:K73">
    <cfRule type="expression" dxfId="918" priority="1334605">
      <formula>AND($L65&gt;0,$L65&lt;4)</formula>
    </cfRule>
    <cfRule type="expression" dxfId="917" priority="1334606">
      <formula>$L65&lt;0</formula>
    </cfRule>
    <cfRule type="expression" dxfId="916" priority="1334607">
      <formula>$L65=0</formula>
    </cfRule>
    <cfRule type="expression" dxfId="915" priority="1334608">
      <formula>$L43:$L$54&gt;=4</formula>
    </cfRule>
  </conditionalFormatting>
  <conditionalFormatting sqref="C63:K63 C58:K58 M58:Q58 M63:Q63">
    <cfRule type="expression" dxfId="914" priority="1335601">
      <formula>AND($L58&gt;0,$L58&lt;4)</formula>
    </cfRule>
    <cfRule type="expression" dxfId="913" priority="1335602">
      <formula>$L58&lt;0</formula>
    </cfRule>
    <cfRule type="expression" dxfId="912" priority="1335603">
      <formula>$L58=0</formula>
    </cfRule>
    <cfRule type="expression" dxfId="911" priority="1335604">
      <formula>$L33:$L$54&gt;=4</formula>
    </cfRule>
  </conditionalFormatting>
  <conditionalFormatting sqref="C196:K196 D195 M196:Q196 M207:Q207 D207:K207 M234:Q234 D234:K234 M329:Q329 C325:K325 M325:Q325 D329:K329 M313:Q313 M343:Q344 C343:K344 M350:Q351 C350:K351 D313:K313 C467 M584:Q584 M586:Q586 C586:K586 C584:K584 M536:Q536 C536:K536 M523:Q523 C523:K523 M473:Q475 C473:K475 C359:K359 M359:Q359 M380:Q382 C380:K382 M764:Q766 C764:K766 C678:K679 M678:Q679 C685:K686 M685:Q686 M876:Q877 C876:K877 C824:K825 M824:Q825 M1003:Q1003 C1003:K1003 D1006:K1006 C994 C1005:K1005 M1005:Q1006 M954:Q954 C954:K954 M946:Q947 C946:K947">
    <cfRule type="expression" dxfId="910" priority="1370477">
      <formula>AND($L195&gt;0,$L195&lt;4)</formula>
    </cfRule>
    <cfRule type="expression" dxfId="909" priority="1370478">
      <formula>$L195&lt;0</formula>
    </cfRule>
    <cfRule type="expression" dxfId="908" priority="1370479">
      <formula>$L195=0</formula>
    </cfRule>
    <cfRule type="expression" dxfId="907" priority="1370480">
      <formula>$L$76:$L132&gt;=4</formula>
    </cfRule>
  </conditionalFormatting>
  <conditionalFormatting sqref="M45:Q45 D45:K45">
    <cfRule type="expression" dxfId="906" priority="1397857">
      <formula>AND($L45&gt;0,$L45&lt;4)</formula>
    </cfRule>
    <cfRule type="expression" dxfId="905" priority="1397858">
      <formula>$L45&lt;0</formula>
    </cfRule>
    <cfRule type="expression" dxfId="904" priority="1397859">
      <formula>$L45=0</formula>
    </cfRule>
    <cfRule type="expression" dxfId="903" priority="1397860">
      <formula>$L33:$L$35&gt;=4</formula>
    </cfRule>
  </conditionalFormatting>
  <conditionalFormatting sqref="C197:K197 C195 E195:K195 M197:Q197 M204:Q206 C204:K206 M193:Q195 C193:K194 C232:K232 M232:Q233 D233:K233 C349:K349 M308:Q308 M312:Q312 C312:K312 M317:Q317 C317:K317 C338:K339 M338:Q339 C308:K308 M349:Q349 C379:K379 M379:Q379 C385:K385 M385:Q385 M466:Q466 C466:K466 M585:Q585 C585:K585 C459:K460 M459:Q460 C582:K583 M582:Q583 C588:K588 M588:Q588 M590:Q591 C590:K591 C759 M760:Q760 C760:K760 C869:K869 M869:Q869 C683:K684 M683:Q684 C762:K763 M762:Q763 M861:Q863 C861:K863 C822:K823 M822:Q823 C826:K827 M826:Q827 M878:Q879 C878:K879 M944:Q945 C944:K945 M1004:Q1004 C1004:K1004 M994:Q994 D994:K994 C1000 M1001:Q1002 C1001:K1002">
    <cfRule type="expression" dxfId="902" priority="1414921">
      <formula>AND($L193&gt;0,$L193&lt;4)</formula>
    </cfRule>
    <cfRule type="expression" dxfId="901" priority="1414922">
      <formula>$L193&lt;0</formula>
    </cfRule>
    <cfRule type="expression" dxfId="900" priority="1414923">
      <formula>$L193=0</formula>
    </cfRule>
    <cfRule type="expression" dxfId="899" priority="1414924">
      <formula>$L$76:$L131&gt;=4</formula>
    </cfRule>
  </conditionalFormatting>
  <conditionalFormatting sqref="M23:Q23">
    <cfRule type="expression" dxfId="898" priority="1428853">
      <formula>AND($L23&gt;0,$L23&lt;4)</formula>
    </cfRule>
    <cfRule type="expression" dxfId="897" priority="1428854">
      <formula>$L23&lt;0</formula>
    </cfRule>
    <cfRule type="expression" dxfId="896" priority="1428855">
      <formula>$L23=0</formula>
    </cfRule>
    <cfRule type="expression" dxfId="895" priority="1428856">
      <formula>$L12:$L$18&gt;=4</formula>
    </cfRule>
  </conditionalFormatting>
  <conditionalFormatting sqref="C24:K24 M24:Q24">
    <cfRule type="expression" dxfId="894" priority="1429677">
      <formula>AND($L24&gt;0,$L24&lt;4)</formula>
    </cfRule>
    <cfRule type="expression" dxfId="893" priority="1429678">
      <formula>$L24&lt;0</formula>
    </cfRule>
    <cfRule type="expression" dxfId="892" priority="1429679">
      <formula>$L24=0</formula>
    </cfRule>
    <cfRule type="expression" dxfId="891" priority="1429680">
      <formula>$L10:$L$18&gt;=4</formula>
    </cfRule>
  </conditionalFormatting>
  <conditionalFormatting sqref="C66:K66 M66:Q66">
    <cfRule type="expression" dxfId="890" priority="1454109">
      <formula>AND($L66&gt;0,$L66&lt;4)</formula>
    </cfRule>
    <cfRule type="expression" dxfId="889" priority="1454110">
      <formula>$L66&lt;0</formula>
    </cfRule>
    <cfRule type="expression" dxfId="888" priority="1454111">
      <formula>$L66=0</formula>
    </cfRule>
    <cfRule type="expression" dxfId="887" priority="1454112">
      <formula>$L38:$L$54&gt;=4</formula>
    </cfRule>
  </conditionalFormatting>
  <conditionalFormatting sqref="M124:Q124 M121:Q122 C121:K122 C124:K124 M128:Q128 C128:K128">
    <cfRule type="expression" dxfId="886" priority="1460245">
      <formula>AND($L121&gt;0,$L121&lt;4)</formula>
    </cfRule>
    <cfRule type="expression" dxfId="885" priority="1460246">
      <formula>$L121&lt;0</formula>
    </cfRule>
    <cfRule type="expression" dxfId="884" priority="1460247">
      <formula>$L121=0</formula>
    </cfRule>
    <cfRule type="expression" dxfId="883" priority="1460248">
      <formula>$L59:$L$76&gt;=4</formula>
    </cfRule>
  </conditionalFormatting>
  <conditionalFormatting sqref="M922:Q923 C922:K923">
    <cfRule type="expression" dxfId="882" priority="1464817">
      <formula>AND($L922&gt;0,$L922&lt;4)</formula>
    </cfRule>
    <cfRule type="expression" dxfId="881" priority="1464818">
      <formula>$L922&lt;0</formula>
    </cfRule>
    <cfRule type="expression" dxfId="880" priority="1464819">
      <formula>$L922=0</formula>
    </cfRule>
    <cfRule type="expression" dxfId="879" priority="1464820">
      <formula>$L$76:$L834&gt;=4</formula>
    </cfRule>
  </conditionalFormatting>
  <conditionalFormatting sqref="M208:Q208 C208:K208 C207 C352:K353 M352:Q353 M340:Q340 C340:K340 C314:K316 M314:Q316 C326:K327 M326:Q327 C334:K335 M334:Q335 C313 F524:K524 C524:D524 M524:Q524 M476:Q477 C476:K477 M383:Q384 C383:K384 C687:K687 M687:Q687 M880:Q880 C880:K880 M875:Q875 C875:K875 M821:Q821 C821:K821 C587:K587 M587:Q587 C674:K675 M674:Q675 C771:K772 M771:Q772 C774:K775 M774:Q775 C592:K592 M592:Q592 C995:K995 C1006 M995:Q995 M1007:Q1008 C1007:K1008 M948:Q948 C948:K948 M952:Q953 C952:K953">
    <cfRule type="expression" dxfId="878" priority="1466369">
      <formula>AND($L207&gt;0,$L207&lt;4)</formula>
    </cfRule>
    <cfRule type="expression" dxfId="877" priority="1466370">
      <formula>$L207&lt;0</formula>
    </cfRule>
    <cfRule type="expression" dxfId="876" priority="1466371">
      <formula>$L207=0</formula>
    </cfRule>
    <cfRule type="expression" dxfId="875" priority="1466372">
      <formula>$L$76:$L143&gt;=4</formula>
    </cfRule>
  </conditionalFormatting>
  <conditionalFormatting sqref="M190:Q190 C190:K190 M171:Q172 E172:K172 C171:K171 M209:Q213 C209:K213 M336:Q336 C336:K336 C341:K342 M341:Q342 M331:Q333 C331:K333 M328:Q328 M354:Q356 C354:K356 C328:K328 M478:Q478 C478:K478 D527:K527 C525:K526 M525:Q527 C521:K522 M521:Q522 C358:K358 M358:Q358 M773:Q773 C773:K773 C767:K767 M767:Q767 M676:Q676 C676:K676 C886:K886 M881:Q881 C881:K881 M886:Q886 M593:Q594 C593:K594 C996:K997 M996:Q997 E943 M949:Q950 C949:K950">
    <cfRule type="expression" dxfId="874" priority="1473793">
      <formula>AND($L171&gt;0,$L171&lt;4)</formula>
    </cfRule>
    <cfRule type="expression" dxfId="873" priority="1473794">
      <formula>$L171&lt;0</formula>
    </cfRule>
    <cfRule type="expression" dxfId="872" priority="1473795">
      <formula>$L171=0</formula>
    </cfRule>
    <cfRule type="expression" dxfId="871" priority="1473796">
      <formula>$L$76:$L106&gt;=4</formula>
    </cfRule>
  </conditionalFormatting>
  <conditionalFormatting sqref="F22:K22 M22:Q22 D22">
    <cfRule type="expression" dxfId="870" priority="1486081">
      <formula>AND($L22&gt;0,$L22&lt;4)</formula>
    </cfRule>
    <cfRule type="expression" dxfId="869" priority="1486082">
      <formula>$L22&lt;0</formula>
    </cfRule>
    <cfRule type="expression" dxfId="868" priority="1486083">
      <formula>$L22=0</formula>
    </cfRule>
    <cfRule type="expression" dxfId="867" priority="1486084">
      <formula>$L14:$L$18&gt;=4</formula>
    </cfRule>
  </conditionalFormatting>
  <conditionalFormatting sqref="E13 C14:K17 M14:Q17">
    <cfRule type="expression" dxfId="866" priority="1486101">
      <formula>AND($L13&gt;0,$L13&lt;4)</formula>
    </cfRule>
    <cfRule type="expression" dxfId="865" priority="1486102">
      <formula>$L13&lt;0</formula>
    </cfRule>
    <cfRule type="expression" dxfId="864" priority="1486103">
      <formula>$L13=0</formula>
    </cfRule>
    <cfRule type="expression" dxfId="863" priority="1486104">
      <formula>$L9:$L$10&gt;=4</formula>
    </cfRule>
  </conditionalFormatting>
  <conditionalFormatting sqref="M189:Q189 C189:K189 M176:Q176 C176:K176 M357:Q357 C357:D357 F357:K357 C337:K337 M337:Q337 C484:K484 M484:Q484 E493 M493:Q493 G493:K493 M534:Q535 C534:K535 C673:K673 M673:Q673 C677:K677 M677:Q677 C670:K671 M670:Q671 C776:K777 M776:Q777 C882:K883 M882:Q883 C887:K888 M887:Q888 C595:K595 D596:K596 M599:Q599 E599:K599 M595:Q596 C1020:K1020 M1020:Q1020 C1009:K1009 M1009:Q1009 M998:Q998 C998:K998 M1013:Q1015 C1013:K1015">
    <cfRule type="expression" dxfId="862" priority="1513333">
      <formula>AND($L176&gt;0,$L176&lt;4)</formula>
    </cfRule>
    <cfRule type="expression" dxfId="861" priority="1513334">
      <formula>$L176&lt;0</formula>
    </cfRule>
    <cfRule type="expression" dxfId="860" priority="1513335">
      <formula>$L176=0</formula>
    </cfRule>
    <cfRule type="expression" dxfId="859" priority="1513336">
      <formula>$L$76:$L110&gt;=4</formula>
    </cfRule>
  </conditionalFormatting>
  <conditionalFormatting sqref="M151:Q151">
    <cfRule type="expression" dxfId="858" priority="1576913">
      <formula>AND($L151&gt;0,$L151&lt;4)</formula>
    </cfRule>
    <cfRule type="expression" dxfId="857" priority="1576914">
      <formula>$L151&lt;0</formula>
    </cfRule>
    <cfRule type="expression" dxfId="856" priority="1576915">
      <formula>$L151=0</formula>
    </cfRule>
    <cfRule type="expression" dxfId="855" priority="1576916">
      <formula>$L76:$L$87&gt;=4</formula>
    </cfRule>
  </conditionalFormatting>
  <conditionalFormatting sqref="M184:Q185 C184:K185 C490:K490 M490:Q490 C493:D493 M501:Q501 D501:K501 F493 C808:K808 M808:Q808 M803:Q806 C803:K806 D612:K612 C604:K604 M604:Q604 M607:Q612 C607:K611 C617:C618 M897:Q898 C897:K898">
    <cfRule type="expression" dxfId="854" priority="1594457">
      <formula>AND($L184&gt;0,$L184&lt;4)</formula>
    </cfRule>
    <cfRule type="expression" dxfId="853" priority="1594458">
      <formula>$L184&lt;0</formula>
    </cfRule>
    <cfRule type="expression" dxfId="852" priority="1594459">
      <formula>$L184=0</formula>
    </cfRule>
    <cfRule type="expression" dxfId="851" priority="1594460">
      <formula>$L$76:$L113&gt;=4</formula>
    </cfRule>
  </conditionalFormatting>
  <conditionalFormatting sqref="C214:K214 M214:Q214 M173:Q174 C173:K174 C170:K170 M177:Q177 C177:K177 M170:Q170 C330:K330 M330:Q330 C329 C527 C520:K520 M520:Q520 M485:Q486 C485:K486 D497:K498 C494:K496 M494:Q498 C528:K533 M528:Q533 C778:K778 M778:Q778 C668:K668 E665 C672:K672 M672:Q672 M668:Q668 M817:Q817 C817:K817 M889:Q894 C889:K894 C600:K600 M600:Q600 M597:Q597 C597:K597 C599:D599 C1010:K1010 M1010:Q1010 M1021:Q1023 C1021:K1023 M942:Q942 C942:K942 C951:K951 M951:Q951 C932:K934 M932:Q934">
    <cfRule type="expression" dxfId="850" priority="1614325">
      <formula>AND($L170&gt;0,$L170&lt;4)</formula>
    </cfRule>
    <cfRule type="expression" dxfId="849" priority="1614326">
      <formula>$L170&lt;0</formula>
    </cfRule>
    <cfRule type="expression" dxfId="848" priority="1614327">
      <formula>$L170=0</formula>
    </cfRule>
    <cfRule type="expression" dxfId="847" priority="1614328">
      <formula>$L$76:$L103&gt;=4</formula>
    </cfRule>
  </conditionalFormatting>
  <conditionalFormatting sqref="C188:K188 M188:Q188 M178:Q179 F179 H179:K179 C178:K178 C179:D179 M481:Q481 C479:K479 M479:Q479 C487:K487 M487:Q487 C481:K481 C779:K779 M779:Q779 M669:Q669 C669:K669 M818:Q820 C818:K820 M884:Q885 C884:K885 C598:D598 F598:K598 C596 M598:Q598 M601:Q603 C601:K603 M1019:Q1019 C1019:K1019 C1024:K1024 M1024:Q1024 M1011:Q1012 C1011:K1012 M1016:Q1017 C1016:K1017 C931:K931 M943:Q943 C943:D943 F943:K943 M931:Q931 M935:Q936 C935:K936">
    <cfRule type="expression" dxfId="846" priority="1645669">
      <formula>AND($L178&gt;0,$L178&lt;4)</formula>
    </cfRule>
    <cfRule type="expression" dxfId="845" priority="1645670">
      <formula>$L178&lt;0</formula>
    </cfRule>
    <cfRule type="expression" dxfId="844" priority="1645671">
      <formula>$L178=0</formula>
    </cfRule>
    <cfRule type="expression" dxfId="843" priority="1645672">
      <formula>$L$76:$L110&gt;=4</formula>
    </cfRule>
  </conditionalFormatting>
  <conditionalFormatting sqref="C18:F18 H18:K18 C20:D20 F20:K20 M20:Q20 M18:Q18">
    <cfRule type="expression" dxfId="842" priority="1676585">
      <formula>AND($L18&gt;0,$L18&lt;4)</formula>
    </cfRule>
    <cfRule type="expression" dxfId="841" priority="1676586">
      <formula>$L18&lt;0</formula>
    </cfRule>
    <cfRule type="expression" dxfId="840" priority="1676587">
      <formula>$L18=0</formula>
    </cfRule>
    <cfRule type="expression" dxfId="839" priority="1676588">
      <formula>$L8:$L$18&gt;=4</formula>
    </cfRule>
  </conditionalFormatting>
  <conditionalFormatting sqref="C19:K19">
    <cfRule type="expression" dxfId="838" priority="1680933">
      <formula>AND($L19&gt;0,$L19&lt;4)</formula>
    </cfRule>
    <cfRule type="expression" dxfId="837" priority="1680934">
      <formula>$L19&lt;0</formula>
    </cfRule>
    <cfRule type="expression" dxfId="836" priority="1680935">
      <formula>$L19=0</formula>
    </cfRule>
    <cfRule type="expression" dxfId="835" priority="1680936">
      <formula>$L8:$L$18&gt;=4</formula>
    </cfRule>
  </conditionalFormatting>
  <conditionalFormatting sqref="E17 E13">
    <cfRule type="expression" dxfId="834" priority="1681033">
      <formula>AND($L16&gt;0,$L16&lt;4)</formula>
    </cfRule>
    <cfRule type="expression" dxfId="833" priority="1681034">
      <formula>$L16&lt;0</formula>
    </cfRule>
    <cfRule type="expression" dxfId="832" priority="1681035">
      <formula>$L16=0</formula>
    </cfRule>
    <cfRule type="expression" dxfId="831" priority="1681036">
      <formula>$L6:$L$18&gt;=4</formula>
    </cfRule>
  </conditionalFormatting>
  <conditionalFormatting sqref="M180:Q181 C180:K181 C492:K492 M492:Q492 D500 M500:Q500 F500:K500 M519:Q519 C519:K519 C488:K489 M488:Q489 C616:K616 M616:Q618 D617:K618 M809:Q809 C809:K809 M895:Q896 C895:K896 C938:K940 M938:Q940">
    <cfRule type="expression" dxfId="830" priority="1698225">
      <formula>AND($L180&gt;0,$L180&lt;4)</formula>
    </cfRule>
    <cfRule type="expression" dxfId="829" priority="1698226">
      <formula>$L180&lt;0</formula>
    </cfRule>
    <cfRule type="expression" dxfId="828" priority="1698227">
      <formula>$L180=0</formula>
    </cfRule>
    <cfRule type="expression" dxfId="827" priority="1698228">
      <formula>$L$76:$L110&gt;=4</formula>
    </cfRule>
  </conditionalFormatting>
  <conditionalFormatting sqref="C491:K491 M491:Q491 D502:K502 M502:Q502 M656:Q656 E656 G656:K656 C619:K619 M619:Q619 M613:Q613 C613:K613 C612 C658:K659 M658:Q659 C899:K899 M899:Q899">
    <cfRule type="expression" dxfId="826" priority="1708725">
      <formula>AND($L491&gt;0,$L491&lt;4)</formula>
    </cfRule>
    <cfRule type="expression" dxfId="825" priority="1708726">
      <formula>$L491&lt;0</formula>
    </cfRule>
    <cfRule type="expression" dxfId="824" priority="1708727">
      <formula>$L491=0</formula>
    </cfRule>
    <cfRule type="expression" dxfId="823" priority="1708728">
      <formula>$L$76:$L419&gt;=4</formula>
    </cfRule>
  </conditionalFormatting>
  <conditionalFormatting sqref="M163:Q163">
    <cfRule type="expression" dxfId="822" priority="1768905">
      <formula>AND($L163&gt;0,$L163&lt;4)</formula>
    </cfRule>
    <cfRule type="expression" dxfId="821" priority="1768906">
      <formula>$L163&lt;0</formula>
    </cfRule>
    <cfRule type="expression" dxfId="820" priority="1768907">
      <formula>$L163=0</formula>
    </cfRule>
    <cfRule type="expression" dxfId="819" priority="1768908">
      <formula>$L80:$L$90&gt;=4</formula>
    </cfRule>
  </conditionalFormatting>
  <conditionalFormatting sqref="M166:Q166 C166:K166">
    <cfRule type="expression" dxfId="818" priority="1771217">
      <formula>AND($L166&gt;0,$L166&lt;4)</formula>
    </cfRule>
    <cfRule type="expression" dxfId="817" priority="1771218">
      <formula>$L166&lt;0</formula>
    </cfRule>
    <cfRule type="expression" dxfId="816" priority="1771219">
      <formula>$L166=0</formula>
    </cfRule>
    <cfRule type="expression" dxfId="815" priority="1771220">
      <formula>$L80:$L$90&gt;=4</formula>
    </cfRule>
  </conditionalFormatting>
  <conditionalFormatting sqref="M167:Q167 C167:K167">
    <cfRule type="expression" dxfId="814" priority="1771221">
      <formula>AND($L167&gt;0,$L167&lt;4)</formula>
    </cfRule>
    <cfRule type="expression" dxfId="813" priority="1771222">
      <formula>$L167&lt;0</formula>
    </cfRule>
    <cfRule type="expression" dxfId="812" priority="1771223">
      <formula>$L167=0</formula>
    </cfRule>
    <cfRule type="expression" dxfId="811" priority="1771224">
      <formula>$L82:$L$90&gt;=4</formula>
    </cfRule>
  </conditionalFormatting>
  <conditionalFormatting sqref="M153:Q153 C153:K153">
    <cfRule type="expression" dxfId="810" priority="1818141">
      <formula>AND($L153&gt;0,$L153&lt;4)</formula>
    </cfRule>
    <cfRule type="expression" dxfId="809" priority="1818142">
      <formula>$L153&lt;0</formula>
    </cfRule>
    <cfRule type="expression" dxfId="808" priority="1818143">
      <formula>$L153=0</formula>
    </cfRule>
    <cfRule type="expression" dxfId="807" priority="1818144">
      <formula>$L76:$L$87&gt;=4</formula>
    </cfRule>
  </conditionalFormatting>
  <conditionalFormatting sqref="M152:Q152 C152:K152">
    <cfRule type="expression" dxfId="806" priority="1819657">
      <formula>AND($L152&gt;0,$L152&lt;4)</formula>
    </cfRule>
    <cfRule type="expression" dxfId="805" priority="1819658">
      <formula>$L152&lt;0</formula>
    </cfRule>
    <cfRule type="expression" dxfId="804" priority="1819659">
      <formula>$L152=0</formula>
    </cfRule>
    <cfRule type="expression" dxfId="803" priority="1819660">
      <formula>$L78:$L$87&gt;=4</formula>
    </cfRule>
  </conditionalFormatting>
  <conditionalFormatting sqref="C145:K145 M145:Q145">
    <cfRule type="expression" dxfId="802" priority="1819669">
      <formula>AND($L145&gt;0,$L145&lt;4)</formula>
    </cfRule>
    <cfRule type="expression" dxfId="801" priority="1819670">
      <formula>$L145&lt;0</formula>
    </cfRule>
    <cfRule type="expression" dxfId="800" priority="1819671">
      <formula>$L145=0</formula>
    </cfRule>
    <cfRule type="expression" dxfId="799" priority="1819672">
      <formula>$L76:$L$78&gt;=4</formula>
    </cfRule>
  </conditionalFormatting>
  <conditionalFormatting sqref="C146:K146 M146:Q146">
    <cfRule type="expression" dxfId="798" priority="1819673">
      <formula>AND($L146&gt;0,$L146&lt;4)</formula>
    </cfRule>
    <cfRule type="expression" dxfId="797" priority="1819674">
      <formula>$L146&lt;0</formula>
    </cfRule>
    <cfRule type="expression" dxfId="796" priority="1819675">
      <formula>$L146=0</formula>
    </cfRule>
    <cfRule type="expression" dxfId="795" priority="1819676">
      <formula>$L78:$L$78&gt;=4</formula>
    </cfRule>
  </conditionalFormatting>
  <conditionalFormatting sqref="L38:L40 L89:L94 L1133 L1080 L1205 L1214 L1190 L1121 L1274 L1003:L1015 L1025:L1031 L1020:L1022 L1040:L1050 L1035:L1037 L1071:L1077 L1061:L1068 L1093:L1097 L1083:L1090 L1104:L1108 L1099:L1100 L1130:L1131 L1136:L1142 L1124:L1127 L1144:L1145 L1155:L1156 L1172:L1173 L1159:L1169 L1176:L1179 L1182:L1185 L1202:L1203 L1196:L1198 L1192:L1193 L1148:L1150 L1111:L1116 L1053:L1058 L1232:L1247 L1224:L1229 L1219:L1220 L1348:L1349">
    <cfRule type="expression" dxfId="794" priority="1851077">
      <formula>AND($L38&gt;0,$L38&lt;4)</formula>
    </cfRule>
    <cfRule type="expression" dxfId="793" priority="1851078">
      <formula>$L38&lt;0</formula>
    </cfRule>
    <cfRule type="expression" dxfId="792" priority="1851079">
      <formula>$L38=0</formula>
    </cfRule>
    <cfRule type="expression" dxfId="791" priority="1851080">
      <formula>$L$8:$L36&gt;=4</formula>
    </cfRule>
  </conditionalFormatting>
  <conditionalFormatting sqref="L95:L104 L106:L119">
    <cfRule type="expression" dxfId="790" priority="1855621">
      <formula>AND($L95&gt;0,$L95&lt;4)</formula>
    </cfRule>
    <cfRule type="expression" dxfId="789" priority="1855622">
      <formula>$L95&lt;0</formula>
    </cfRule>
    <cfRule type="expression" dxfId="788" priority="1855623">
      <formula>$L95=0</formula>
    </cfRule>
    <cfRule type="expression" dxfId="787" priority="1855624">
      <formula>#REF!&gt;=4</formula>
    </cfRule>
  </conditionalFormatting>
  <conditionalFormatting sqref="L163 L166 L201:L205 L255 L275:L277 L280:L281 L325:L332 L364:L369 L404 L416:L420 L544 L560:L562 L453:L477 L257:L273 L407:L414 L246:L253 L372:L379 L381:L382 L565:L576 L120:L129 L607:L617 L284:L291 L131:L161 L619:L636 L546:L557 L317:L323 L422:L451 L480:L542 L1288">
    <cfRule type="expression" dxfId="786" priority="1859741">
      <formula>AND($L120&gt;0,$L120&lt;4)</formula>
    </cfRule>
    <cfRule type="expression" dxfId="785" priority="1859742">
      <formula>$L120&lt;0</formula>
    </cfRule>
    <cfRule type="expression" dxfId="784" priority="1859743">
      <formula>$L120=0</formula>
    </cfRule>
    <cfRule type="expression" dxfId="783" priority="1859744">
      <formula>#REF!&gt;=4</formula>
    </cfRule>
  </conditionalFormatting>
  <conditionalFormatting sqref="L41 L55:L57 L1019 L1180 L1189 L1091 L1101 L1120 L1016:L1017 L1023:L1024 L1038:L1039 L1051:L1052 L1059:L1060 L1078:L1079 L1109:L1110 L1117:L1118 L1122:L1123 L1128:L1129 L1134:L1135 L1146:L1147 L1151:L1152 L1157:L1158 L1170:L1171 L1174:L1175 L1186:L1187 L1194:L1195 L1200:L1201 L1208:L1209 L1212:L1213 L1218 L1221:L1222 L1230:L1231">
    <cfRule type="expression" dxfId="782" priority="1865493">
      <formula>AND($L41&gt;0,$L41&lt;4)</formula>
    </cfRule>
    <cfRule type="expression" dxfId="781" priority="1865494">
      <formula>$L41&lt;0</formula>
    </cfRule>
    <cfRule type="expression" dxfId="780" priority="1865495">
      <formula>$L41=0</formula>
    </cfRule>
    <cfRule type="expression" dxfId="779" priority="1865496">
      <formula>$L$8:$L38&gt;=4</formula>
    </cfRule>
  </conditionalFormatting>
  <conditionalFormatting sqref="M186:Q186 C186:K186 C168:K168 M168:Q168 M784:Q784 C784:K784 M802:Q802 C802:K802 M813:Q813 C813:K813 M810:Q810 C810:K810 C660:K661 M660:Q661 M655:Q655 M657:Q657 C657:K657 C655:K655 C614:K614 M614:Q614 E648 M900:Q901 C900:K901">
    <cfRule type="expression" dxfId="778" priority="1870653">
      <formula>AND($L168&gt;0,$L168&lt;4)</formula>
    </cfRule>
    <cfRule type="expression" dxfId="777" priority="1870654">
      <formula>$L168&lt;0</formula>
    </cfRule>
    <cfRule type="expression" dxfId="776" priority="1870655">
      <formula>$L168=0</formula>
    </cfRule>
    <cfRule type="expression" dxfId="775" priority="1870656">
      <formula>$L$76:$L95&gt;=4</formula>
    </cfRule>
  </conditionalFormatting>
  <conditionalFormatting sqref="M187:Q187 C187:K187 C175:K175 M175:Q175 C172:D172 M182:Q183 C182:K183 C480:K480 M480:Q480 D499:K499 M499:Q499 C482:K483 M482:Q483 C516:K518 M516:Q518 M605:Q606 C605:K606 F665:K665 C665:D665 C664:K664 C666:K667 M664:Q667 M780:Q783 C781:K783 M941:Q941 M930:Q930 C930:K930 C937:K937 M937:Q937 C941:K941 M1018:Q1018 C1018:K1018 C780:F780 H780:K780">
    <cfRule type="expression" dxfId="774" priority="1874781">
      <formula>AND($L172&gt;0,$L172&lt;4)</formula>
    </cfRule>
    <cfRule type="expression" dxfId="773" priority="1874782">
      <formula>$L172&lt;0</formula>
    </cfRule>
    <cfRule type="expression" dxfId="772" priority="1874783">
      <formula>$L172=0</formula>
    </cfRule>
    <cfRule type="expression" dxfId="771" priority="1874784">
      <formula>$L$76:$L103&gt;=4</formula>
    </cfRule>
  </conditionalFormatting>
  <conditionalFormatting sqref="E179">
    <cfRule type="expression" dxfId="770" priority="5">
      <formula>AND($L179&gt;0,$L179&lt;4)</formula>
    </cfRule>
    <cfRule type="expression" dxfId="769" priority="6">
      <formula>$L179&lt;0</formula>
    </cfRule>
    <cfRule type="expression" dxfId="768" priority="7">
      <formula>$L179=0</formula>
    </cfRule>
    <cfRule type="expression" dxfId="767" priority="8">
      <formula>$L$76:$L114&gt;=4</formula>
    </cfRule>
  </conditionalFormatting>
  <conditionalFormatting sqref="G179">
    <cfRule type="expression" dxfId="766" priority="1">
      <formula>AND($L179&gt;0,$L179&lt;4)</formula>
    </cfRule>
    <cfRule type="expression" dxfId="765" priority="2">
      <formula>$L179&lt;0</formula>
    </cfRule>
    <cfRule type="expression" dxfId="764" priority="3">
      <formula>$L179=0</formula>
    </cfRule>
    <cfRule type="expression" dxfId="763" priority="4">
      <formula>$L$76:$L114&gt;=4</formula>
    </cfRule>
  </conditionalFormatting>
  <conditionalFormatting sqref="M514:Q514 C514:K514 C500 C787:K787 M787:Q787 M799:Q799 C799:K799 C791:K792 M791:Q792 D624:K624 C623:K623 M623:Q624 M631:Q633 C631:K633 E906:K906 E907 G907:K907 M904:Q907 C904:K905 C906:C907">
    <cfRule type="expression" dxfId="762" priority="1892053">
      <formula>AND($L500&gt;0,$L500&lt;4)</formula>
    </cfRule>
    <cfRule type="expression" dxfId="761" priority="1892054">
      <formula>$L500&lt;0</formula>
    </cfRule>
    <cfRule type="expression" dxfId="760" priority="1892055">
      <formula>$L500=0</formula>
    </cfRule>
    <cfRule type="expression" dxfId="759" priority="1892056">
      <formula>$L$76:$L424&gt;=4</formula>
    </cfRule>
  </conditionalFormatting>
  <conditionalFormatting sqref="E178">
    <cfRule type="expression" dxfId="758" priority="1907821">
      <formula>AND($L127&gt;0,$L127&lt;4)</formula>
    </cfRule>
    <cfRule type="expression" dxfId="757" priority="1907822">
      <formula>$L127&lt;0</formula>
    </cfRule>
    <cfRule type="expression" dxfId="756" priority="1907823">
      <formula>$L127=0</formula>
    </cfRule>
    <cfRule type="expression" dxfId="755" priority="1907824">
      <formula>$L63:$L$76&gt;=4</formula>
    </cfRule>
  </conditionalFormatting>
  <conditionalFormatting sqref="L84:L88">
    <cfRule type="expression" dxfId="754" priority="1913385">
      <formula>AND($L84&gt;0,$L84&lt;4)</formula>
    </cfRule>
    <cfRule type="expression" dxfId="753" priority="1913386">
      <formula>$L84&lt;0</formula>
    </cfRule>
    <cfRule type="expression" dxfId="752" priority="1913387">
      <formula>$L84=0</formula>
    </cfRule>
    <cfRule type="expression" dxfId="751" priority="1913388">
      <formula>#REF!&gt;=4</formula>
    </cfRule>
  </conditionalFormatting>
  <conditionalFormatting sqref="M127:Q127 F127:K127 C127:D127">
    <cfRule type="expression" dxfId="750" priority="1945729">
      <formula>AND($L127&gt;0,$L127&lt;4)</formula>
    </cfRule>
    <cfRule type="expression" dxfId="749" priority="1945730">
      <formula>$L127&lt;0</formula>
    </cfRule>
    <cfRule type="expression" dxfId="748" priority="1945731">
      <formula>$L127=0</formula>
    </cfRule>
    <cfRule type="expression" dxfId="747" priority="1945732">
      <formula>$L63:$L$76&gt;=4</formula>
    </cfRule>
  </conditionalFormatting>
  <conditionalFormatting sqref="M629:Q629 F648:K648 C649:K649 C648:D648 C629:K629 M648:Q649 M927:Q927 M913:Q913 C913:K913 C927:K927">
    <cfRule type="expression" dxfId="746" priority="1946357">
      <formula>AND($L629&gt;0,$L629&lt;4)</formula>
    </cfRule>
    <cfRule type="expression" dxfId="745" priority="1946358">
      <formula>$L629&lt;0</formula>
    </cfRule>
    <cfRule type="expression" dxfId="744" priority="1946359">
      <formula>$L629=0</formula>
    </cfRule>
    <cfRule type="expression" dxfId="743" priority="1946360">
      <formula>$L$76:$L548&gt;=4</formula>
    </cfRule>
  </conditionalFormatting>
  <conditionalFormatting sqref="C499 C788:K788 M788:Q788 M794:Q794 C794:K794 M630:Q630 C630:K630 C627:K627 M627:Q627 C624:C625 M637:Q638 C637:K638">
    <cfRule type="expression" dxfId="742" priority="1999845">
      <formula>AND($L499&gt;0,$L499&lt;4)</formula>
    </cfRule>
    <cfRule type="expression" dxfId="741" priority="1999846">
      <formula>$L499&lt;0</formula>
    </cfRule>
    <cfRule type="expression" dxfId="740" priority="1999847">
      <formula>$L499=0</formula>
    </cfRule>
    <cfRule type="expression" dxfId="739" priority="1999848">
      <formula>$L$76:$L422&gt;=4</formula>
    </cfRule>
  </conditionalFormatting>
  <conditionalFormatting sqref="M38:Q40 C38:K40">
    <cfRule type="expression" dxfId="738" priority="2009925">
      <formula>AND($L38&gt;0,$L38&lt;4)</formula>
    </cfRule>
    <cfRule type="expression" dxfId="737" priority="2009926">
      <formula>$L38&lt;0</formula>
    </cfRule>
    <cfRule type="expression" dxfId="736" priority="2009927">
      <formula>$L38=0</formula>
    </cfRule>
    <cfRule type="expression" dxfId="735" priority="2009928">
      <formula>$L33:$L$33&gt;=4</formula>
    </cfRule>
  </conditionalFormatting>
  <conditionalFormatting sqref="C55:K57 M55:Q57">
    <cfRule type="expression" dxfId="734" priority="2009961">
      <formula>AND($L55&gt;0,$L55&lt;4)</formula>
    </cfRule>
    <cfRule type="expression" dxfId="733" priority="2009962">
      <formula>$L55&lt;0</formula>
    </cfRule>
    <cfRule type="expression" dxfId="732" priority="2009963">
      <formula>$L55=0</formula>
    </cfRule>
    <cfRule type="expression" dxfId="731" priority="2009964">
      <formula>$L28:$L$54&gt;=4</formula>
    </cfRule>
  </conditionalFormatting>
  <conditionalFormatting sqref="M42:Q42 C42:K42">
    <cfRule type="expression" dxfId="730" priority="2029269">
      <formula>AND($L42&gt;0,$L42&lt;4)</formula>
    </cfRule>
    <cfRule type="expression" dxfId="729" priority="2029270">
      <formula>$L42&lt;0</formula>
    </cfRule>
    <cfRule type="expression" dxfId="728" priority="2029271">
      <formula>$L42=0</formula>
    </cfRule>
    <cfRule type="expression" dxfId="727" priority="2029272">
      <formula>$L$33:$L35&gt;=4</formula>
    </cfRule>
  </conditionalFormatting>
  <conditionalFormatting sqref="L42:L43 L47:L48 L50 L52:L54 L60:L63 L65 L69:L70 L1018 L1188 L1119 L1032:L1033 L1069:L1070 L1102:L1103">
    <cfRule type="expression" dxfId="726" priority="2049197">
      <formula>AND($L42&gt;0,$L42&lt;4)</formula>
    </cfRule>
    <cfRule type="expression" dxfId="725" priority="2049198">
      <formula>$L42&lt;0</formula>
    </cfRule>
    <cfRule type="expression" dxfId="724" priority="2049199">
      <formula>$L42=0</formula>
    </cfRule>
    <cfRule type="expression" dxfId="723" priority="2049200">
      <formula>$L$8:$L38&gt;=4</formula>
    </cfRule>
  </conditionalFormatting>
  <conditionalFormatting sqref="M508:Q508 C508:K508 C497 M793:Q793 C793:K793 C626:K626 M626:Q626 C653:K654 M653:Q654 M908:Q911 C908:K911 M915:Q916 F915:K916 C915:D916">
    <cfRule type="expression" dxfId="722" priority="2057669">
      <formula>AND($L497&gt;0,$L497&lt;4)</formula>
    </cfRule>
    <cfRule type="expression" dxfId="721" priority="2057670">
      <formula>$L497&lt;0</formula>
    </cfRule>
    <cfRule type="expression" dxfId="720" priority="2057671">
      <formula>$L497=0</formula>
    </cfRule>
    <cfRule type="expression" dxfId="719" priority="2057672">
      <formula>$L$76:$L419&gt;=4</formula>
    </cfRule>
  </conditionalFormatting>
  <conditionalFormatting sqref="C169:K169 M169:Q169 C501:C502 M503:Q505 C503:K505 M785:Q785 C785:K785 M797:Q797 C800:K800 M800:Q800 C797:K797 C789:K790 M789:Q790 M811:Q812 M814:Q816 C814:K816 C811:K812 C656:D656 F656 C620:K620 M620:Q620 C615:K615 M615:Q615 C902:K903 M902:Q903">
    <cfRule type="expression" dxfId="718" priority="2082349">
      <formula>AND($L169&gt;0,$L169&lt;4)</formula>
    </cfRule>
    <cfRule type="expression" dxfId="717" priority="2082350">
      <formula>$L169&lt;0</formula>
    </cfRule>
    <cfRule type="expression" dxfId="716" priority="2082351">
      <formula>$L169=0</formula>
    </cfRule>
    <cfRule type="expression" dxfId="715" priority="2082352">
      <formula>$L$76:$L95&gt;=4</formula>
    </cfRule>
  </conditionalFormatting>
  <conditionalFormatting sqref="C22">
    <cfRule type="expression" dxfId="714" priority="2095949">
      <formula>AND($L22&gt;0,$L22&lt;4)</formula>
    </cfRule>
    <cfRule type="expression" dxfId="713" priority="2095950">
      <formula>$L22&lt;0</formula>
    </cfRule>
    <cfRule type="expression" dxfId="712" priority="2095951">
      <formula>$L22=0</formula>
    </cfRule>
    <cfRule type="expression" dxfId="711" priority="2095952">
      <formula>$L10:$L$18&gt;=4</formula>
    </cfRule>
  </conditionalFormatting>
  <conditionalFormatting sqref="L12:L31">
    <cfRule type="expression" dxfId="710" priority="2095961">
      <formula>AND($L12&gt;0,$L12&lt;4)</formula>
    </cfRule>
    <cfRule type="expression" dxfId="709" priority="2095962">
      <formula>$L12&lt;0</formula>
    </cfRule>
    <cfRule type="expression" dxfId="708" priority="2095963">
      <formula>$L12=0</formula>
    </cfRule>
    <cfRule type="expression" dxfId="707" priority="2095964">
      <formula>$L$8:$L10&gt;=4</formula>
    </cfRule>
  </conditionalFormatting>
  <conditionalFormatting sqref="M10:Q11 C10:K11">
    <cfRule type="expression" dxfId="706" priority="2095981">
      <formula>AND($L10&gt;0,$L10&lt;4)</formula>
    </cfRule>
    <cfRule type="expression" dxfId="705" priority="2095982">
      <formula>$L10&lt;0</formula>
    </cfRule>
    <cfRule type="expression" dxfId="704" priority="2095983">
      <formula>$L10=0</formula>
    </cfRule>
    <cfRule type="expression" dxfId="703" priority="2095984">
      <formula>$L8:$L$10&gt;=4</formula>
    </cfRule>
  </conditionalFormatting>
  <conditionalFormatting sqref="C21:D21 F21:K21 M21:Q21">
    <cfRule type="expression" dxfId="702" priority="2098825">
      <formula>AND($L21&gt;0,$L21&lt;4)</formula>
    </cfRule>
    <cfRule type="expression" dxfId="701" priority="2098826">
      <formula>$L21&lt;0</formula>
    </cfRule>
    <cfRule type="expression" dxfId="700" priority="2098827">
      <formula>$L21=0</formula>
    </cfRule>
    <cfRule type="expression" dxfId="699" priority="2098828">
      <formula>$L12:$L$18&gt;=4</formula>
    </cfRule>
  </conditionalFormatting>
  <conditionalFormatting sqref="M158:Q158 C158:K158">
    <cfRule type="expression" dxfId="698" priority="2119621">
      <formula>AND($L158&gt;0,$L158&lt;4)</formula>
    </cfRule>
    <cfRule type="expression" dxfId="697" priority="2119622">
      <formula>$L158&lt;0</formula>
    </cfRule>
    <cfRule type="expression" dxfId="696" priority="2119623">
      <formula>$L158=0</formula>
    </cfRule>
    <cfRule type="expression" dxfId="695" priority="2119624">
      <formula>$L80:$L$87&gt;=4</formula>
    </cfRule>
  </conditionalFormatting>
  <conditionalFormatting sqref="M136:Q136 M139:Q140 M131:Q134 C131:K134 C139:K140 C136:K136">
    <cfRule type="expression" dxfId="694" priority="2123273">
      <formula>AND($L131&gt;0,$L131&lt;4)</formula>
    </cfRule>
    <cfRule type="expression" dxfId="693" priority="2123274">
      <formula>$L131&lt;0</formula>
    </cfRule>
    <cfRule type="expression" dxfId="692" priority="2123275">
      <formula>$L131=0</formula>
    </cfRule>
    <cfRule type="expression" dxfId="691" priority="2123276">
      <formula>$L66:$L$76&gt;=4</formula>
    </cfRule>
  </conditionalFormatting>
  <conditionalFormatting sqref="C34:K34 M34:Q34">
    <cfRule type="expression" dxfId="690" priority="2126441">
      <formula>AND($L34&gt;0,$L34&lt;4)</formula>
    </cfRule>
    <cfRule type="expression" dxfId="689" priority="2126442">
      <formula>$L34&lt;0</formula>
    </cfRule>
    <cfRule type="expression" dxfId="688" priority="2126443">
      <formula>$L34=0</formula>
    </cfRule>
    <cfRule type="expression" dxfId="687" priority="2126444">
      <formula>$L25:$L$34&gt;=4</formula>
    </cfRule>
  </conditionalFormatting>
  <conditionalFormatting sqref="C35:K35 M35:Q35">
    <cfRule type="expression" dxfId="686" priority="2132577">
      <formula>AND($L35&gt;0,$L35&lt;4)</formula>
    </cfRule>
    <cfRule type="expression" dxfId="685" priority="2132578">
      <formula>$L35&lt;0</formula>
    </cfRule>
    <cfRule type="expression" dxfId="684" priority="2132579">
      <formula>$L35=0</formula>
    </cfRule>
    <cfRule type="expression" dxfId="683" priority="2132580">
      <formula>$L26:$L$33&gt;=4</formula>
    </cfRule>
  </conditionalFormatting>
  <conditionalFormatting sqref="L32:L37">
    <cfRule type="expression" dxfId="682" priority="2142673">
      <formula>AND($L32&gt;0,$L32&lt;4)</formula>
    </cfRule>
    <cfRule type="expression" dxfId="681" priority="2142674">
      <formula>$L32&lt;0</formula>
    </cfRule>
    <cfRule type="expression" dxfId="680" priority="2142675">
      <formula>$L32=0</formula>
    </cfRule>
    <cfRule type="expression" dxfId="679" priority="2142676">
      <formula>$L$8:$L29&gt;=4</formula>
    </cfRule>
  </conditionalFormatting>
  <conditionalFormatting sqref="C36:K37 M36:Q37">
    <cfRule type="expression" dxfId="678" priority="2143897">
      <formula>AND($L36&gt;0,$L36&lt;4)</formula>
    </cfRule>
    <cfRule type="expression" dxfId="677" priority="2143898">
      <formula>$L36&lt;0</formula>
    </cfRule>
    <cfRule type="expression" dxfId="676" priority="2143899">
      <formula>$L36=0</formula>
    </cfRule>
    <cfRule type="expression" dxfId="675" priority="2143900">
      <formula>$L28:$L$33&gt;=4</formula>
    </cfRule>
  </conditionalFormatting>
  <conditionalFormatting sqref="C509:K509 M509:Q509 C498 C641:K641 M641:Q641 C645:K645 M652:Q652 C652:K652 M645:Q645 C639:K639 C634:K634 M634:Q634 M636:Q636 C636:K636 M639:Q639 C917:D917 M917:Q917 F917:K917">
    <cfRule type="expression" dxfId="674" priority="2144533">
      <formula>AND($L498&gt;0,$L498&lt;4)</formula>
    </cfRule>
    <cfRule type="expression" dxfId="673" priority="2144534">
      <formula>$L498&lt;0</formula>
    </cfRule>
    <cfRule type="expression" dxfId="672" priority="2144535">
      <formula>$L498=0</formula>
    </cfRule>
    <cfRule type="expression" dxfId="671" priority="2144536">
      <formula>$L$76:$L419&gt;=4</formula>
    </cfRule>
  </conditionalFormatting>
  <conditionalFormatting sqref="C515:K515 M515:Q515 M506:Q507 C506:K507 C510:K513 M510:Q513 D625:K625 M625:Q625 E643 C621:K622 M621:Q622 M786:Q786 C786:K786 C798:K798 C801:K801 M801:Q801 M798:Q798 C807:K807 M807:Q807 C662:K663 M662:Q663 M795:Q796 C795:K796">
    <cfRule type="expression" dxfId="670" priority="2149861">
      <formula>AND($L506&gt;0,$L506&lt;4)</formula>
    </cfRule>
    <cfRule type="expression" dxfId="669" priority="2149862">
      <formula>$L506&lt;0</formula>
    </cfRule>
    <cfRule type="expression" dxfId="668" priority="2149863">
      <formula>$L506=0</formula>
    </cfRule>
    <cfRule type="expression" dxfId="667" priority="2149864">
      <formula>$L$76:$L431&gt;=4</formula>
    </cfRule>
  </conditionalFormatting>
  <conditionalFormatting sqref="D64 F64 C62:K62 M62:Q62">
    <cfRule type="expression" dxfId="666" priority="2166913">
      <formula>AND($L62&gt;0,$L62&lt;4)</formula>
    </cfRule>
    <cfRule type="expression" dxfId="665" priority="2166914">
      <formula>$L62&lt;0</formula>
    </cfRule>
    <cfRule type="expression" dxfId="664" priority="2166915">
      <formula>$L62=0</formula>
    </cfRule>
    <cfRule type="expression" dxfId="663" priority="2166916">
      <formula>$L36:$L$54&gt;=4</formula>
    </cfRule>
  </conditionalFormatting>
  <conditionalFormatting sqref="M41:Q41 C41:K41">
    <cfRule type="expression" dxfId="662" priority="2168709">
      <formula>AND($L41&gt;0,$L41&lt;4)</formula>
    </cfRule>
    <cfRule type="expression" dxfId="661" priority="2168710">
      <formula>$L41&lt;0</formula>
    </cfRule>
    <cfRule type="expression" dxfId="660" priority="2168711">
      <formula>$L41=0</formula>
    </cfRule>
    <cfRule type="expression" dxfId="659" priority="2168712">
      <formula>$L$33:$L35&gt;=4</formula>
    </cfRule>
  </conditionalFormatting>
  <conditionalFormatting sqref="M43:Q44 C43:K44">
    <cfRule type="expression" dxfId="658" priority="2168749">
      <formula>AND($L43&gt;0,$L43&lt;4)</formula>
    </cfRule>
    <cfRule type="expression" dxfId="657" priority="2168750">
      <formula>$L43&lt;0</formula>
    </cfRule>
    <cfRule type="expression" dxfId="656" priority="2168751">
      <formula>$L43=0</formula>
    </cfRule>
    <cfRule type="expression" dxfId="655" priority="2168752">
      <formula>$L$33:$L34&gt;=4</formula>
    </cfRule>
  </conditionalFormatting>
  <conditionalFormatting sqref="C52:K53 M52:Q53">
    <cfRule type="expression" dxfId="654" priority="2168797">
      <formula>AND($L52&gt;0,$L52&lt;4)</formula>
    </cfRule>
    <cfRule type="expression" dxfId="653" priority="2168798">
      <formula>$L52&lt;0</formula>
    </cfRule>
    <cfRule type="expression" dxfId="652" priority="2168799">
      <formula>$L52=0</formula>
    </cfRule>
    <cfRule type="expression" dxfId="651" priority="2168800">
      <formula>$L34:$L$35&gt;=4</formula>
    </cfRule>
  </conditionalFormatting>
  <conditionalFormatting sqref="M67:Q67 C67:K67 C64:C65 C54:K54 M54:Q54">
    <cfRule type="expression" dxfId="650" priority="2169909">
      <formula>AND($L54&gt;0,$L54&lt;4)</formula>
    </cfRule>
    <cfRule type="expression" dxfId="649" priority="2169910">
      <formula>$L54&lt;0</formula>
    </cfRule>
    <cfRule type="expression" dxfId="648" priority="2169911">
      <formula>$L54=0</formula>
    </cfRule>
    <cfRule type="expression" dxfId="647" priority="2169912">
      <formula>$L25:$L$54&gt;=4</formula>
    </cfRule>
  </conditionalFormatting>
  <conditionalFormatting sqref="E734">
    <cfRule type="expression" dxfId="646" priority="2172417">
      <formula>AND($L737&gt;0,$L737&lt;4)</formula>
    </cfRule>
    <cfRule type="expression" dxfId="645" priority="2172418">
      <formula>$L737&lt;0</formula>
    </cfRule>
    <cfRule type="expression" dxfId="644" priority="2172419">
      <formula>$L737=0</formula>
    </cfRule>
    <cfRule type="expression" dxfId="643" priority="2172420">
      <formula>$L$76:$L689&gt;=4</formula>
    </cfRule>
  </conditionalFormatting>
  <conditionalFormatting sqref="E1011">
    <cfRule type="expression" dxfId="642" priority="2172573">
      <formula>AND($L744&gt;0,$L744&lt;4)</formula>
    </cfRule>
    <cfRule type="expression" dxfId="641" priority="2172574">
      <formula>$L744&lt;0</formula>
    </cfRule>
    <cfRule type="expression" dxfId="640" priority="2172575">
      <formula>$L744=0</formula>
    </cfRule>
    <cfRule type="expression" dxfId="639" priority="2172576">
      <formula>$L$76:$L694&gt;=4</formula>
    </cfRule>
  </conditionalFormatting>
  <conditionalFormatting sqref="M113:Q117 C113:K117">
    <cfRule type="expression" dxfId="638" priority="2182573">
      <formula>AND($L113&gt;0,$L113&lt;4)</formula>
    </cfRule>
    <cfRule type="expression" dxfId="637" priority="2182574">
      <formula>$L113&lt;0</formula>
    </cfRule>
    <cfRule type="expression" dxfId="636" priority="2182575">
      <formula>$L113=0</formula>
    </cfRule>
    <cfRule type="expression" dxfId="635" priority="2182576">
      <formula>$L55:$L$76&gt;=4</formula>
    </cfRule>
  </conditionalFormatting>
  <conditionalFormatting sqref="E64 M64:Q64 G64:K64 C71:K71 M71:Q71">
    <cfRule type="expression" dxfId="634" priority="2183257">
      <formula>AND($L64&gt;0,$L64&lt;4)</formula>
    </cfRule>
    <cfRule type="expression" dxfId="633" priority="2183258">
      <formula>$L64&lt;0</formula>
    </cfRule>
    <cfRule type="expression" dxfId="632" priority="2183259">
      <formula>$L64=0</formula>
    </cfRule>
    <cfRule type="expression" dxfId="631" priority="2183260">
      <formula>$L43:$L$54&gt;=4</formula>
    </cfRule>
  </conditionalFormatting>
  <conditionalFormatting sqref="M135:Q135 M137:Q138 C129:K130 M129:Q130 C135:K135 M141:Q142 C141:K142 C137:K138">
    <cfRule type="expression" dxfId="630" priority="2211993">
      <formula>AND($L129&gt;0,$L129&lt;4)</formula>
    </cfRule>
    <cfRule type="expression" dxfId="629" priority="2211994">
      <formula>$L129&lt;0</formula>
    </cfRule>
    <cfRule type="expression" dxfId="628" priority="2211995">
      <formula>$L129=0</formula>
    </cfRule>
    <cfRule type="expression" dxfId="627" priority="2211996">
      <formula>$L63:$L$76&gt;=4</formula>
    </cfRule>
  </conditionalFormatting>
  <conditionalFormatting sqref="C628:K628 M628:Q628 M635:Q635 M640:Q640 C640:K640 C635:K635 M650:Q651 C646:K647 M646:Q647 C650:K651 C914:K914 M914:Q914">
    <cfRule type="expression" dxfId="626" priority="2228045">
      <formula>AND($L628&gt;0,$L628&lt;4)</formula>
    </cfRule>
    <cfRule type="expression" dxfId="625" priority="2228046">
      <formula>$L628&lt;0</formula>
    </cfRule>
    <cfRule type="expression" dxfId="624" priority="2228047">
      <formula>$L628=0</formula>
    </cfRule>
    <cfRule type="expression" dxfId="623" priority="2228048">
      <formula>$L$76:$L548&gt;=4</formula>
    </cfRule>
  </conditionalFormatting>
  <conditionalFormatting sqref="E138">
    <cfRule type="expression" dxfId="622" priority="2241925">
      <formula>AND($L216&gt;0,$L216&lt;4)</formula>
    </cfRule>
    <cfRule type="expression" dxfId="621" priority="2241926">
      <formula>$L216&lt;0</formula>
    </cfRule>
    <cfRule type="expression" dxfId="620" priority="2241927">
      <formula>$L216=0</formula>
    </cfRule>
    <cfRule type="expression" dxfId="619" priority="2241928">
      <formula>$L$76:$L158&gt;=4</formula>
    </cfRule>
  </conditionalFormatting>
  <conditionalFormatting sqref="M921:Q921 C921:K921">
    <cfRule type="expression" dxfId="618" priority="2263761">
      <formula>AND($L921&gt;0,$L921&lt;4)</formula>
    </cfRule>
    <cfRule type="expression" dxfId="617" priority="2263762">
      <formula>$L921&lt;0</formula>
    </cfRule>
    <cfRule type="expression" dxfId="616" priority="2263763">
      <formula>$L921=0</formula>
    </cfRule>
    <cfRule type="expression" dxfId="615" priority="2263764">
      <formula>$L$76:$L834&gt;=4</formula>
    </cfRule>
  </conditionalFormatting>
  <conditionalFormatting sqref="E368">
    <cfRule type="expression" dxfId="614" priority="2286541">
      <formula>AND($L357&gt;0,$L357&lt;4)</formula>
    </cfRule>
    <cfRule type="expression" dxfId="613" priority="2286542">
      <formula>$L357&lt;0</formula>
    </cfRule>
    <cfRule type="expression" dxfId="612" priority="2286543">
      <formula>$L357=0</formula>
    </cfRule>
    <cfRule type="expression" dxfId="611" priority="2286544">
      <formula>$L$76:$L291&gt;=4</formula>
    </cfRule>
  </conditionalFormatting>
  <conditionalFormatting sqref="C644:K644 M644:Q644 M918:Q919 C918:K919 C925:K926 M925:Q926">
    <cfRule type="expression" dxfId="610" priority="2304169">
      <formula>AND($L644&gt;0,$L644&lt;4)</formula>
    </cfRule>
    <cfRule type="expression" dxfId="609" priority="2304170">
      <formula>$L644&lt;0</formula>
    </cfRule>
    <cfRule type="expression" dxfId="608" priority="2304171">
      <formula>$L644=0</formula>
    </cfRule>
    <cfRule type="expression" dxfId="607" priority="2304172">
      <formula>$L$76:$L560&gt;=4</formula>
    </cfRule>
  </conditionalFormatting>
  <conditionalFormatting sqref="F643:K643 C643:D643 M643:Q643">
    <cfRule type="expression" dxfId="606" priority="2307005">
      <formula>AND($L643&gt;0,$L643&lt;4)</formula>
    </cfRule>
    <cfRule type="expression" dxfId="605" priority="2307006">
      <formula>$L643&lt;0</formula>
    </cfRule>
    <cfRule type="expression" dxfId="604" priority="2307007">
      <formula>$L643=0</formula>
    </cfRule>
    <cfRule type="expression" dxfId="603" priority="2307008">
      <formula>$L$76:$L560&gt;=4</formula>
    </cfRule>
  </conditionalFormatting>
  <conditionalFormatting sqref="M118:Q119 C118:K119">
    <cfRule type="expression" dxfId="602" priority="2310789">
      <formula>AND($L118&gt;0,$L118&lt;4)</formula>
    </cfRule>
    <cfRule type="expression" dxfId="601" priority="2310790">
      <formula>$L118&lt;0</formula>
    </cfRule>
    <cfRule type="expression" dxfId="600" priority="2310791">
      <formula>$L118=0</formula>
    </cfRule>
    <cfRule type="expression" dxfId="599" priority="2310792">
      <formula>$L59:$L$76&gt;=4</formula>
    </cfRule>
  </conditionalFormatting>
  <conditionalFormatting sqref="C143:K144 M143:Q144">
    <cfRule type="expression" dxfId="598" priority="2310945">
      <formula>AND($L143&gt;0,$L143&lt;4)</formula>
    </cfRule>
    <cfRule type="expression" dxfId="597" priority="2310946">
      <formula>$L143&lt;0</formula>
    </cfRule>
    <cfRule type="expression" dxfId="596" priority="2310947">
      <formula>$L143=0</formula>
    </cfRule>
    <cfRule type="expression" dxfId="595" priority="2310948">
      <formula>$L76:$L$76&gt;=4</formula>
    </cfRule>
  </conditionalFormatting>
  <conditionalFormatting sqref="M154:Q157 C154:K157">
    <cfRule type="expression" dxfId="594" priority="2310953">
      <formula>AND($L154&gt;0,$L154&lt;4)</formula>
    </cfRule>
    <cfRule type="expression" dxfId="593" priority="2310954">
      <formula>$L154&lt;0</formula>
    </cfRule>
    <cfRule type="expression" dxfId="592" priority="2310955">
      <formula>$L154=0</formula>
    </cfRule>
    <cfRule type="expression" dxfId="591" priority="2310956">
      <formula>$L78:$L$87&gt;=4</formula>
    </cfRule>
  </conditionalFormatting>
  <conditionalFormatting sqref="C125:K126 M125:Q126">
    <cfRule type="expression" dxfId="590" priority="2312073">
      <formula>AND($L125&gt;0,$L125&lt;4)</formula>
    </cfRule>
    <cfRule type="expression" dxfId="589" priority="2312074">
      <formula>$L125&lt;0</formula>
    </cfRule>
    <cfRule type="expression" dxfId="588" priority="2312075">
      <formula>$L125=0</formula>
    </cfRule>
    <cfRule type="expression" dxfId="587" priority="2312076">
      <formula>$L62:$L$76&gt;=4</formula>
    </cfRule>
  </conditionalFormatting>
  <conditionalFormatting sqref="C642:K642 M642:Q642 C912:K912 M912:Q912 C928:K929 M928:Q929">
    <cfRule type="expression" dxfId="586" priority="2316381">
      <formula>AND($L642&gt;0,$L642&lt;4)</formula>
    </cfRule>
    <cfRule type="expression" dxfId="585" priority="2316382">
      <formula>$L642&lt;0</formula>
    </cfRule>
    <cfRule type="expression" dxfId="584" priority="2316383">
      <formula>$L642=0</formula>
    </cfRule>
    <cfRule type="expression" dxfId="583" priority="2316384">
      <formula>$L$76:$L560&gt;=4</formula>
    </cfRule>
  </conditionalFormatting>
  <conditionalFormatting sqref="L1034">
    <cfRule type="expression" dxfId="582" priority="2318713">
      <formula>AND($L1034&gt;0,$L1034&lt;4)</formula>
    </cfRule>
    <cfRule type="expression" dxfId="581" priority="2318714">
      <formula>$L1034&lt;0</formula>
    </cfRule>
    <cfRule type="expression" dxfId="580" priority="2318715">
      <formula>$L1034=0</formula>
    </cfRule>
    <cfRule type="expression" dxfId="579" priority="2318716">
      <formula>$L$8:$L1033&gt;=4</formula>
    </cfRule>
  </conditionalFormatting>
  <conditionalFormatting sqref="L1154">
    <cfRule type="expression" dxfId="578" priority="2345157">
      <formula>AND($L1154&gt;0,$L1154&lt;4)</formula>
    </cfRule>
    <cfRule type="expression" dxfId="577" priority="2345158">
      <formula>$L1154&lt;0</formula>
    </cfRule>
    <cfRule type="expression" dxfId="576" priority="2345159">
      <formula>$L1154=0</formula>
    </cfRule>
    <cfRule type="expression" dxfId="575" priority="2345160">
      <formula>$L$8:$L1149&gt;=4</formula>
    </cfRule>
  </conditionalFormatting>
  <conditionalFormatting sqref="M83:Q83 C76:K77 M76:Q77 C83:K83">
    <cfRule type="expression" dxfId="574" priority="2355549">
      <formula>AND($L76&gt;0,$L76&lt;4)</formula>
    </cfRule>
    <cfRule type="expression" dxfId="573" priority="2355550">
      <formula>$L76&lt;0</formula>
    </cfRule>
    <cfRule type="expression" dxfId="572" priority="2355551">
      <formula>$L76=0</formula>
    </cfRule>
    <cfRule type="expression" dxfId="571" priority="2355552">
      <formula>$L25:$L$76&gt;=4</formula>
    </cfRule>
  </conditionalFormatting>
  <conditionalFormatting sqref="C82:K82 C102:K105 M82:Q82 M84:Q86 C85:K86 M80:Q80 C80:K80 D84:K84 M102:Q105">
    <cfRule type="expression" dxfId="570" priority="2355565">
      <formula>AND($L80&gt;0,$L80&lt;4)</formula>
    </cfRule>
    <cfRule type="expression" dxfId="569" priority="2355566">
      <formula>$L80&lt;0</formula>
    </cfRule>
    <cfRule type="expression" dxfId="568" priority="2355567">
      <formula>$L80=0</formula>
    </cfRule>
    <cfRule type="expression" dxfId="567" priority="2355568">
      <formula>$L30:$L$76&gt;=4</formula>
    </cfRule>
  </conditionalFormatting>
  <conditionalFormatting sqref="C95:K95 M95:Q95 M112:Q112 C112:K112">
    <cfRule type="expression" dxfId="566" priority="2355609">
      <formula>AND($L95&gt;0,$L95&lt;4)</formula>
    </cfRule>
    <cfRule type="expression" dxfId="565" priority="2355610">
      <formula>$L95&lt;0</formula>
    </cfRule>
    <cfRule type="expression" dxfId="564" priority="2355611">
      <formula>$L95=0</formula>
    </cfRule>
    <cfRule type="expression" dxfId="563" priority="2355612">
      <formula>$L38:$L$76&gt;=4</formula>
    </cfRule>
  </conditionalFormatting>
  <conditionalFormatting sqref="C84 M87:Q88 C87:K88 M106:Q107 C106:K107">
    <cfRule type="expression" dxfId="562" priority="2355621">
      <formula>AND($L84&gt;0,$L84&lt;4)</formula>
    </cfRule>
    <cfRule type="expression" dxfId="561" priority="2355622">
      <formula>$L84&lt;0</formula>
    </cfRule>
    <cfRule type="expression" dxfId="560" priority="2355623">
      <formula>$L84=0</formula>
    </cfRule>
    <cfRule type="expression" dxfId="559" priority="2355624">
      <formula>$L32:$L$76&gt;=4</formula>
    </cfRule>
  </conditionalFormatting>
  <conditionalFormatting sqref="M108:Q109 C108:K109 M89:Q89 C78:K79 M78:Q79 C89:K89">
    <cfRule type="expression" dxfId="558" priority="2355637">
      <formula>AND($L78&gt;0,$L78&lt;4)</formula>
    </cfRule>
    <cfRule type="expression" dxfId="557" priority="2355638">
      <formula>$L78&lt;0</formula>
    </cfRule>
    <cfRule type="expression" dxfId="556" priority="2355639">
      <formula>$L78=0</formula>
    </cfRule>
    <cfRule type="expression" dxfId="555" priority="2355640">
      <formula>$L25:$L$76&gt;=4</formula>
    </cfRule>
  </conditionalFormatting>
  <conditionalFormatting sqref="M92:Q92 C92:K92 C96:K97 M96:Q97">
    <cfRule type="expression" dxfId="554" priority="2355665">
      <formula>AND($L92&gt;0,$L92&lt;4)</formula>
    </cfRule>
    <cfRule type="expression" dxfId="553" priority="2355666">
      <formula>$L92&lt;0</formula>
    </cfRule>
    <cfRule type="expression" dxfId="552" priority="2355667">
      <formula>$L92=0</formula>
    </cfRule>
    <cfRule type="expression" dxfId="551" priority="2355668">
      <formula>$L46:$L$76&gt;=4</formula>
    </cfRule>
  </conditionalFormatting>
  <conditionalFormatting sqref="M69:Q70 C69:K70">
    <cfRule type="expression" dxfId="550" priority="2355681">
      <formula>AND($L69&gt;0,$L69&lt;4)</formula>
    </cfRule>
    <cfRule type="expression" dxfId="549" priority="2355682">
      <formula>$L69&lt;0</formula>
    </cfRule>
    <cfRule type="expression" dxfId="548" priority="2355683">
      <formula>$L69=0</formula>
    </cfRule>
    <cfRule type="expression" dxfId="547" priority="2355684">
      <formula>$L49:$L$54&gt;=4</formula>
    </cfRule>
  </conditionalFormatting>
  <conditionalFormatting sqref="C100:K100 M100:Q100">
    <cfRule type="expression" dxfId="546" priority="2355705">
      <formula>AND($L100&gt;0,$L100&lt;4)</formula>
    </cfRule>
    <cfRule type="expression" dxfId="545" priority="2355706">
      <formula>$L100&lt;0</formula>
    </cfRule>
    <cfRule type="expression" dxfId="544" priority="2355707">
      <formula>$L100=0</formula>
    </cfRule>
    <cfRule type="expression" dxfId="543" priority="2355708">
      <formula>$L52:$L$76&gt;=4</formula>
    </cfRule>
  </conditionalFormatting>
  <conditionalFormatting sqref="L130">
    <cfRule type="expression" dxfId="542" priority="2355713">
      <formula>AND($L130&gt;0,$L130&lt;4)</formula>
    </cfRule>
    <cfRule type="expression" dxfId="541" priority="2355714">
      <formula>$L130&lt;0</formula>
    </cfRule>
    <cfRule type="expression" dxfId="540" priority="2355715">
      <formula>$L130=0</formula>
    </cfRule>
    <cfRule type="expression" dxfId="539" priority="2355716">
      <formula>$L8:$L$129&gt;=4</formula>
    </cfRule>
  </conditionalFormatting>
  <conditionalFormatting sqref="L162">
    <cfRule type="expression" dxfId="538" priority="2355717">
      <formula>AND($L162&gt;0,$L162&lt;4)</formula>
    </cfRule>
    <cfRule type="expression" dxfId="537" priority="2355718">
      <formula>$L162&lt;0</formula>
    </cfRule>
    <cfRule type="expression" dxfId="536" priority="2355719">
      <formula>$L162=0</formula>
    </cfRule>
    <cfRule type="expression" dxfId="535" priority="2355720">
      <formula>$L8:$L$161&gt;=4</formula>
    </cfRule>
  </conditionalFormatting>
  <conditionalFormatting sqref="L167">
    <cfRule type="expression" dxfId="534" priority="2355721">
      <formula>AND($L167&gt;0,$L167&lt;4)</formula>
    </cfRule>
    <cfRule type="expression" dxfId="533" priority="2355722">
      <formula>$L167&lt;0</formula>
    </cfRule>
    <cfRule type="expression" dxfId="532" priority="2355723">
      <formula>$L167=0</formula>
    </cfRule>
    <cfRule type="expression" dxfId="531" priority="2355724">
      <formula>$L8:$L$166&gt;=4</formula>
    </cfRule>
  </conditionalFormatting>
  <conditionalFormatting sqref="L105">
    <cfRule type="expression" dxfId="530" priority="2355725">
      <formula>AND($L105&gt;0,$L105&lt;4)</formula>
    </cfRule>
    <cfRule type="expression" dxfId="529" priority="2355726">
      <formula>$L105&lt;0</formula>
    </cfRule>
    <cfRule type="expression" dxfId="528" priority="2355727">
      <formula>$L105=0</formula>
    </cfRule>
    <cfRule type="expression" dxfId="527" priority="2355728">
      <formula>$L8:$L$104&gt;=4</formula>
    </cfRule>
  </conditionalFormatting>
  <conditionalFormatting sqref="L83">
    <cfRule type="expression" dxfId="526" priority="2355729">
      <formula>AND($L83&gt;0,$L83&lt;4)</formula>
    </cfRule>
    <cfRule type="expression" dxfId="525" priority="2355730">
      <formula>$L83&lt;0</formula>
    </cfRule>
    <cfRule type="expression" dxfId="524" priority="2355731">
      <formula>$L83=0</formula>
    </cfRule>
    <cfRule type="expression" dxfId="523" priority="2355732">
      <formula>$L8:$L$82&gt;=4</formula>
    </cfRule>
  </conditionalFormatting>
  <conditionalFormatting sqref="C101:K101 M101:Q101 M81:Q81 C81:K81">
    <cfRule type="expression" dxfId="522" priority="2355733">
      <formula>AND($L81&gt;0,$L81&lt;4)</formula>
    </cfRule>
    <cfRule type="expression" dxfId="521" priority="2355734">
      <formula>$L81&lt;0</formula>
    </cfRule>
    <cfRule type="expression" dxfId="520" priority="2355735">
      <formula>$L81=0</formula>
    </cfRule>
    <cfRule type="expression" dxfId="519" priority="2355736">
      <formula>$L32:$L$76&gt;=4</formula>
    </cfRule>
  </conditionalFormatting>
  <conditionalFormatting sqref="L206">
    <cfRule type="expression" dxfId="518" priority="2355885">
      <formula>AND($L206&gt;0,$L206&lt;4)</formula>
    </cfRule>
    <cfRule type="expression" dxfId="517" priority="2355886">
      <formula>$L206&lt;0</formula>
    </cfRule>
    <cfRule type="expression" dxfId="516" priority="2355887">
      <formula>$L206=0</formula>
    </cfRule>
    <cfRule type="expression" dxfId="515" priority="2355888">
      <formula>$L8:$L$205&gt;=4</formula>
    </cfRule>
  </conditionalFormatting>
  <conditionalFormatting sqref="L200">
    <cfRule type="expression" dxfId="514" priority="2355889">
      <formula>AND($L200&gt;0,$L200&lt;4)</formula>
    </cfRule>
    <cfRule type="expression" dxfId="513" priority="2355890">
      <formula>$L200&lt;0</formula>
    </cfRule>
    <cfRule type="expression" dxfId="512" priority="2355891">
      <formula>$L200=0</formula>
    </cfRule>
    <cfRule type="expression" dxfId="511" priority="2355892">
      <formula>$L8:$L$199&gt;=4</formula>
    </cfRule>
  </conditionalFormatting>
  <conditionalFormatting sqref="L245">
    <cfRule type="expression" dxfId="510" priority="2355893">
      <formula>AND($L245&gt;0,$L245&lt;4)</formula>
    </cfRule>
    <cfRule type="expression" dxfId="509" priority="2355894">
      <formula>$L245&lt;0</formula>
    </cfRule>
    <cfRule type="expression" dxfId="508" priority="2355895">
      <formula>$L245=0</formula>
    </cfRule>
    <cfRule type="expression" dxfId="507" priority="2355896">
      <formula>$L8:$L$244&gt;=4</formula>
    </cfRule>
  </conditionalFormatting>
  <conditionalFormatting sqref="L254">
    <cfRule type="expression" dxfId="506" priority="2355897">
      <formula>AND($L254&gt;0,$L254&lt;4)</formula>
    </cfRule>
    <cfRule type="expression" dxfId="505" priority="2355898">
      <formula>$L254&lt;0</formula>
    </cfRule>
    <cfRule type="expression" dxfId="504" priority="2355899">
      <formula>$L254=0</formula>
    </cfRule>
    <cfRule type="expression" dxfId="503" priority="2355900">
      <formula>$L8:$L$253&gt;=4</formula>
    </cfRule>
  </conditionalFormatting>
  <conditionalFormatting sqref="L274">
    <cfRule type="expression" dxfId="502" priority="2355901">
      <formula>AND($L274&gt;0,$L274&lt;4)</formula>
    </cfRule>
    <cfRule type="expression" dxfId="501" priority="2355902">
      <formula>$L274&lt;0</formula>
    </cfRule>
    <cfRule type="expression" dxfId="500" priority="2355903">
      <formula>$L274=0</formula>
    </cfRule>
    <cfRule type="expression" dxfId="499" priority="2355904">
      <formula>$L8:$L$273&gt;=4</formula>
    </cfRule>
  </conditionalFormatting>
  <conditionalFormatting sqref="L278:L279">
    <cfRule type="expression" dxfId="498" priority="2355905">
      <formula>AND($L278&gt;0,$L278&lt;4)</formula>
    </cfRule>
    <cfRule type="expression" dxfId="497" priority="2355906">
      <formula>$L278&lt;0</formula>
    </cfRule>
    <cfRule type="expression" dxfId="496" priority="2355907">
      <formula>$L278=0</formula>
    </cfRule>
    <cfRule type="expression" dxfId="495" priority="2355908">
      <formula>$L7:$L$277&gt;=4</formula>
    </cfRule>
  </conditionalFormatting>
  <conditionalFormatting sqref="L292">
    <cfRule type="expression" dxfId="494" priority="2355909">
      <formula>AND($L292&gt;0,$L292&lt;4)</formula>
    </cfRule>
    <cfRule type="expression" dxfId="493" priority="2355910">
      <formula>$L292&lt;0</formula>
    </cfRule>
    <cfRule type="expression" dxfId="492" priority="2355911">
      <formula>$L292=0</formula>
    </cfRule>
    <cfRule type="expression" dxfId="491" priority="2355912">
      <formula>$L8:$L$291&gt;=4</formula>
    </cfRule>
  </conditionalFormatting>
  <conditionalFormatting sqref="L256">
    <cfRule type="expression" dxfId="490" priority="2355913">
      <formula>AND($L256&gt;0,$L256&lt;4)</formula>
    </cfRule>
    <cfRule type="expression" dxfId="489" priority="2355914">
      <formula>$L256&lt;0</formula>
    </cfRule>
    <cfRule type="expression" dxfId="488" priority="2355915">
      <formula>$L256=0</formula>
    </cfRule>
    <cfRule type="expression" dxfId="487" priority="2355916">
      <formula>$L8:$L$255&gt;=4</formula>
    </cfRule>
  </conditionalFormatting>
  <conditionalFormatting sqref="L316">
    <cfRule type="expression" dxfId="486" priority="2356001">
      <formula>AND($L316&gt;0,$L316&lt;4)</formula>
    </cfRule>
    <cfRule type="expression" dxfId="485" priority="2356002">
      <formula>$L316&lt;0</formula>
    </cfRule>
    <cfRule type="expression" dxfId="484" priority="2356003">
      <formula>$L316=0</formula>
    </cfRule>
    <cfRule type="expression" dxfId="483" priority="2356004">
      <formula>$L8:$L$315&gt;=4</formula>
    </cfRule>
  </conditionalFormatting>
  <conditionalFormatting sqref="L324">
    <cfRule type="expression" dxfId="482" priority="2356005">
      <formula>AND($L324&gt;0,$L324&lt;4)</formula>
    </cfRule>
    <cfRule type="expression" dxfId="481" priority="2356006">
      <formula>$L324&lt;0</formula>
    </cfRule>
    <cfRule type="expression" dxfId="480" priority="2356007">
      <formula>$L324=0</formula>
    </cfRule>
    <cfRule type="expression" dxfId="479" priority="2356008">
      <formula>$L8:$L$323&gt;=4</formula>
    </cfRule>
  </conditionalFormatting>
  <conditionalFormatting sqref="L333">
    <cfRule type="expression" dxfId="478" priority="2356009">
      <formula>AND($L333&gt;0,$L333&lt;4)</formula>
    </cfRule>
    <cfRule type="expression" dxfId="477" priority="2356010">
      <formula>$L333&lt;0</formula>
    </cfRule>
    <cfRule type="expression" dxfId="476" priority="2356011">
      <formula>$L333=0</formula>
    </cfRule>
    <cfRule type="expression" dxfId="475" priority="2356012">
      <formula>$L8:$L$332&gt;=4</formula>
    </cfRule>
  </conditionalFormatting>
  <conditionalFormatting sqref="M110:Q111 C110:K111">
    <cfRule type="expression" dxfId="474" priority="2356981">
      <formula>AND($L110&gt;0,$L110&lt;4)</formula>
    </cfRule>
    <cfRule type="expression" dxfId="473" priority="2356982">
      <formula>$L110&lt;0</formula>
    </cfRule>
    <cfRule type="expression" dxfId="472" priority="2356983">
      <formula>$L110=0</formula>
    </cfRule>
    <cfRule type="expression" dxfId="471" priority="2356984">
      <formula>$L54:$L$76&gt;=4</formula>
    </cfRule>
  </conditionalFormatting>
  <conditionalFormatting sqref="M90:Q91 C90:K91">
    <cfRule type="expression" dxfId="470" priority="2357013">
      <formula>AND($L90&gt;0,$L90&lt;4)</formula>
    </cfRule>
    <cfRule type="expression" dxfId="469" priority="2357014">
      <formula>$L90&lt;0</formula>
    </cfRule>
    <cfRule type="expression" dxfId="468" priority="2357015">
      <formula>$L90=0</formula>
    </cfRule>
    <cfRule type="expression" dxfId="467" priority="2357016">
      <formula>$L35:$L$76&gt;=4</formula>
    </cfRule>
  </conditionalFormatting>
  <conditionalFormatting sqref="M93:Q94 C93:K94">
    <cfRule type="expression" dxfId="466" priority="2357021">
      <formula>AND($L93&gt;0,$L93&lt;4)</formula>
    </cfRule>
    <cfRule type="expression" dxfId="465" priority="2357022">
      <formula>$L93&lt;0</formula>
    </cfRule>
    <cfRule type="expression" dxfId="464" priority="2357023">
      <formula>$L93=0</formula>
    </cfRule>
    <cfRule type="expression" dxfId="463" priority="2357024">
      <formula>$L49:$L$76&gt;=4</formula>
    </cfRule>
  </conditionalFormatting>
  <conditionalFormatting sqref="M98:Q99 C98:K99">
    <cfRule type="expression" dxfId="462" priority="2357029">
      <formula>AND($L98&gt;0,$L98&lt;4)</formula>
    </cfRule>
    <cfRule type="expression" dxfId="461" priority="2357030">
      <formula>$L98&lt;0</formula>
    </cfRule>
    <cfRule type="expression" dxfId="460" priority="2357031">
      <formula>$L98=0</formula>
    </cfRule>
    <cfRule type="expression" dxfId="459" priority="2357032">
      <formula>$L51:$L$76&gt;=4</formula>
    </cfRule>
  </conditionalFormatting>
  <conditionalFormatting sqref="L164:L165">
    <cfRule type="expression" dxfId="458" priority="2357153">
      <formula>AND($L164&gt;0,$L164&lt;4)</formula>
    </cfRule>
    <cfRule type="expression" dxfId="457" priority="2357154">
      <formula>$L164&lt;0</formula>
    </cfRule>
    <cfRule type="expression" dxfId="456" priority="2357155">
      <formula>$L164=0</formula>
    </cfRule>
    <cfRule type="expression" dxfId="455" priority="2357156">
      <formula>$L8:$L$163&gt;=4</formula>
    </cfRule>
  </conditionalFormatting>
  <conditionalFormatting sqref="L282:L283">
    <cfRule type="expression" dxfId="454" priority="2357425">
      <formula>AND($L282&gt;0,$L282&lt;4)</formula>
    </cfRule>
    <cfRule type="expression" dxfId="453" priority="2357426">
      <formula>$L282&lt;0</formula>
    </cfRule>
    <cfRule type="expression" dxfId="452" priority="2357427">
      <formula>$L282=0</formula>
    </cfRule>
    <cfRule type="expression" dxfId="451" priority="2357428">
      <formula>$L8:$L$281&gt;=4</formula>
    </cfRule>
  </conditionalFormatting>
  <conditionalFormatting sqref="L301:L302">
    <cfRule type="expression" dxfId="450" priority="2357429">
      <formula>AND($L301&gt;0,$L301&lt;4)</formula>
    </cfRule>
    <cfRule type="expression" dxfId="449" priority="2357430">
      <formula>$L301&lt;0</formula>
    </cfRule>
    <cfRule type="expression" dxfId="448" priority="2357431">
      <formula>$L301=0</formula>
    </cfRule>
    <cfRule type="expression" dxfId="447" priority="2357432">
      <formula>$L8:$L$299&gt;=4</formula>
    </cfRule>
  </conditionalFormatting>
  <conditionalFormatting sqref="E412">
    <cfRule type="expression" dxfId="446" priority="2360281">
      <formula>AND($L387&gt;0,$L387&lt;4)</formula>
    </cfRule>
    <cfRule type="expression" dxfId="445" priority="2360282">
      <formula>$L387&lt;0</formula>
    </cfRule>
    <cfRule type="expression" dxfId="444" priority="2360283">
      <formula>$L387=0</formula>
    </cfRule>
    <cfRule type="expression" dxfId="443" priority="2360284">
      <formula>$L$76:$L331&gt;=4</formula>
    </cfRule>
  </conditionalFormatting>
  <conditionalFormatting sqref="E321">
    <cfRule type="expression" dxfId="442" priority="2361529">
      <formula>AND($L372&gt;0,$L372&lt;4)</formula>
    </cfRule>
    <cfRule type="expression" dxfId="441" priority="2361530">
      <formula>$L372&lt;0</formula>
    </cfRule>
    <cfRule type="expression" dxfId="440" priority="2361531">
      <formula>$L372=0</formula>
    </cfRule>
    <cfRule type="expression" dxfId="439" priority="2361532">
      <formula>$L$76:$L316&gt;=4</formula>
    </cfRule>
  </conditionalFormatting>
  <conditionalFormatting sqref="L363">
    <cfRule type="expression" dxfId="438" priority="2363113">
      <formula>AND($L363&gt;0,$L363&lt;4)</formula>
    </cfRule>
    <cfRule type="expression" dxfId="437" priority="2363114">
      <formula>$L363&lt;0</formula>
    </cfRule>
    <cfRule type="expression" dxfId="436" priority="2363115">
      <formula>$L363=0</formula>
    </cfRule>
    <cfRule type="expression" dxfId="435" priority="2363116">
      <formula>$L8:$L$362&gt;=4</formula>
    </cfRule>
  </conditionalFormatting>
  <conditionalFormatting sqref="L380">
    <cfRule type="expression" dxfId="434" priority="2363117">
      <formula>AND($L380&gt;0,$L380&lt;4)</formula>
    </cfRule>
    <cfRule type="expression" dxfId="433" priority="2363118">
      <formula>$L380&lt;0</formula>
    </cfRule>
    <cfRule type="expression" dxfId="432" priority="2363119">
      <formula>$L380=0</formula>
    </cfRule>
    <cfRule type="expression" dxfId="431" priority="2363120">
      <formula>$L8:$L$379&gt;=4</formula>
    </cfRule>
  </conditionalFormatting>
  <conditionalFormatting sqref="L383">
    <cfRule type="expression" dxfId="430" priority="2363121">
      <formula>AND($L383&gt;0,$L383&lt;4)</formula>
    </cfRule>
    <cfRule type="expression" dxfId="429" priority="2363122">
      <formula>$L383&lt;0</formula>
    </cfRule>
    <cfRule type="expression" dxfId="428" priority="2363123">
      <formula>$L383=0</formula>
    </cfRule>
    <cfRule type="expression" dxfId="427" priority="2363124">
      <formula>$L8:$L$381&gt;=4</formula>
    </cfRule>
  </conditionalFormatting>
  <conditionalFormatting sqref="L403">
    <cfRule type="expression" dxfId="426" priority="2363125">
      <formula>AND($L403&gt;0,$L403&lt;4)</formula>
    </cfRule>
    <cfRule type="expression" dxfId="425" priority="2363126">
      <formula>$L403&lt;0</formula>
    </cfRule>
    <cfRule type="expression" dxfId="424" priority="2363127">
      <formula>$L403=0</formula>
    </cfRule>
    <cfRule type="expression" dxfId="423" priority="2363128">
      <formula>$L8:$L$402&gt;=4</formula>
    </cfRule>
  </conditionalFormatting>
  <conditionalFormatting sqref="L415">
    <cfRule type="expression" dxfId="422" priority="2363129">
      <formula>AND($L415&gt;0,$L415&lt;4)</formula>
    </cfRule>
    <cfRule type="expression" dxfId="421" priority="2363130">
      <formula>$L415&lt;0</formula>
    </cfRule>
    <cfRule type="expression" dxfId="420" priority="2363131">
      <formula>$L415=0</formula>
    </cfRule>
    <cfRule type="expression" dxfId="419" priority="2363132">
      <formula>$L8:$L$414&gt;=4</formula>
    </cfRule>
  </conditionalFormatting>
  <conditionalFormatting sqref="L421">
    <cfRule type="expression" dxfId="418" priority="2363133">
      <formula>AND($L421&gt;0,$L421&lt;4)</formula>
    </cfRule>
    <cfRule type="expression" dxfId="417" priority="2363134">
      <formula>$L421&lt;0</formula>
    </cfRule>
    <cfRule type="expression" dxfId="416" priority="2363135">
      <formula>$L421=0</formula>
    </cfRule>
    <cfRule type="expression" dxfId="415" priority="2363136">
      <formula>$L8:$L$420&gt;=4</formula>
    </cfRule>
  </conditionalFormatting>
  <conditionalFormatting sqref="L452">
    <cfRule type="expression" dxfId="414" priority="2363137">
      <formula>AND($L452&gt;0,$L452&lt;4)</formula>
    </cfRule>
    <cfRule type="expression" dxfId="413" priority="2363138">
      <formula>$L452&lt;0</formula>
    </cfRule>
    <cfRule type="expression" dxfId="412" priority="2363139">
      <formula>$L452=0</formula>
    </cfRule>
    <cfRule type="expression" dxfId="411" priority="2363140">
      <formula>$L8:$L$451&gt;=4</formula>
    </cfRule>
  </conditionalFormatting>
  <conditionalFormatting sqref="L543">
    <cfRule type="expression" dxfId="410" priority="2363141">
      <formula>AND($L543&gt;0,$L543&lt;4)</formula>
    </cfRule>
    <cfRule type="expression" dxfId="409" priority="2363142">
      <formula>$L543&lt;0</formula>
    </cfRule>
    <cfRule type="expression" dxfId="408" priority="2363143">
      <formula>$L543=0</formula>
    </cfRule>
    <cfRule type="expression" dxfId="407" priority="2363144">
      <formula>$L8:$L$542&gt;=4</formula>
    </cfRule>
  </conditionalFormatting>
  <conditionalFormatting sqref="L545">
    <cfRule type="expression" dxfId="406" priority="2363145">
      <formula>AND($L545&gt;0,$L545&lt;4)</formula>
    </cfRule>
    <cfRule type="expression" dxfId="405" priority="2363146">
      <formula>$L545&lt;0</formula>
    </cfRule>
    <cfRule type="expression" dxfId="404" priority="2363147">
      <formula>$L545=0</formula>
    </cfRule>
    <cfRule type="expression" dxfId="403" priority="2363148">
      <formula>$L8:$L$544&gt;=4</formula>
    </cfRule>
  </conditionalFormatting>
  <conditionalFormatting sqref="L370:L371">
    <cfRule type="expression" dxfId="402" priority="2363249">
      <formula>AND($L370&gt;0,$L370&lt;4)</formula>
    </cfRule>
    <cfRule type="expression" dxfId="401" priority="2363250">
      <formula>$L370&lt;0</formula>
    </cfRule>
    <cfRule type="expression" dxfId="400" priority="2363251">
      <formula>$L370=0</formula>
    </cfRule>
    <cfRule type="expression" dxfId="399" priority="2363252">
      <formula>$L8:$L$369&gt;=4</formula>
    </cfRule>
  </conditionalFormatting>
  <conditionalFormatting sqref="L405:L406">
    <cfRule type="expression" dxfId="398" priority="2363253">
      <formula>AND($L405&gt;0,$L405&lt;4)</formula>
    </cfRule>
    <cfRule type="expression" dxfId="397" priority="2363254">
      <formula>$L405&lt;0</formula>
    </cfRule>
    <cfRule type="expression" dxfId="396" priority="2363255">
      <formula>$L405=0</formula>
    </cfRule>
    <cfRule type="expression" dxfId="395" priority="2363256">
      <formula>$L8:$L$404&gt;=4</formula>
    </cfRule>
  </conditionalFormatting>
  <conditionalFormatting sqref="L478:L479">
    <cfRule type="expression" dxfId="394" priority="2363257">
      <formula>AND($L478&gt;0,$L478&lt;4)</formula>
    </cfRule>
    <cfRule type="expression" dxfId="393" priority="2363258">
      <formula>$L478&lt;0</formula>
    </cfRule>
    <cfRule type="expression" dxfId="392" priority="2363259">
      <formula>$L478=0</formula>
    </cfRule>
    <cfRule type="expression" dxfId="391" priority="2363260">
      <formula>$L8:$L$477&gt;=4</formula>
    </cfRule>
  </conditionalFormatting>
  <conditionalFormatting sqref="L577:L581">
    <cfRule type="expression" dxfId="390" priority="2363261">
      <formula>AND($L577&gt;0,$L577&lt;4)</formula>
    </cfRule>
    <cfRule type="expression" dxfId="389" priority="2363262">
      <formula>$L577&lt;0</formula>
    </cfRule>
    <cfRule type="expression" dxfId="388" priority="2363263">
      <formula>$L577=0</formula>
    </cfRule>
    <cfRule type="expression" dxfId="387" priority="2363264">
      <formula>$L8:$L$576&gt;=4</formula>
    </cfRule>
  </conditionalFormatting>
  <conditionalFormatting sqref="L558:L559">
    <cfRule type="expression" dxfId="386" priority="2363265">
      <formula>AND($L558&gt;0,$L558&lt;4)</formula>
    </cfRule>
    <cfRule type="expression" dxfId="385" priority="2363266">
      <formula>$L558&lt;0</formula>
    </cfRule>
    <cfRule type="expression" dxfId="384" priority="2363267">
      <formula>$L558=0</formula>
    </cfRule>
    <cfRule type="expression" dxfId="383" priority="2363268">
      <formula>$L8:$L$557&gt;=4</formula>
    </cfRule>
  </conditionalFormatting>
  <conditionalFormatting sqref="L563:L564">
    <cfRule type="expression" dxfId="382" priority="2363269">
      <formula>AND($L563&gt;0,$L563&lt;4)</formula>
    </cfRule>
    <cfRule type="expression" dxfId="381" priority="2363270">
      <formula>$L563&lt;0</formula>
    </cfRule>
    <cfRule type="expression" dxfId="380" priority="2363271">
      <formula>$L563=0</formula>
    </cfRule>
    <cfRule type="expression" dxfId="379" priority="2363272">
      <formula>$L8:$L$562&gt;=4</formula>
    </cfRule>
  </conditionalFormatting>
  <conditionalFormatting sqref="L664:L666 L685:L686">
    <cfRule type="expression" dxfId="378" priority="2366217">
      <formula>AND($L664&gt;0,$L664&lt;4)</formula>
    </cfRule>
    <cfRule type="expression" dxfId="377" priority="2366218">
      <formula>$L664&lt;0</formula>
    </cfRule>
    <cfRule type="expression" dxfId="376" priority="2366219">
      <formula>$L664=0</formula>
    </cfRule>
    <cfRule type="expression" dxfId="375" priority="2366220">
      <formula>$L8:$L$664&gt;=4</formula>
    </cfRule>
  </conditionalFormatting>
  <conditionalFormatting sqref="C410:K410 M410 O410:Q410">
    <cfRule type="expression" dxfId="374" priority="2366237">
      <formula>AND($L410&gt;0,$L410&lt;4)</formula>
    </cfRule>
    <cfRule type="expression" dxfId="373" priority="2366238">
      <formula>$L410&lt;0</formula>
    </cfRule>
    <cfRule type="expression" dxfId="372" priority="2366239">
      <formula>$L410=0</formula>
    </cfRule>
    <cfRule type="expression" dxfId="371" priority="2366240">
      <formula>$L$76:$L1233&gt;=4</formula>
    </cfRule>
  </conditionalFormatting>
  <conditionalFormatting sqref="L768 L770:L775 L787:L792 L860:L865 L868 L858 L802:L806 L834 L972:L978 L995:L996 L949 L915:L917 L966">
    <cfRule type="expression" dxfId="370" priority="2366245">
      <formula>AND($L768&gt;0,$L768&lt;4)</formula>
    </cfRule>
    <cfRule type="expression" dxfId="369" priority="2366246">
      <formula>$L768&lt;0</formula>
    </cfRule>
    <cfRule type="expression" dxfId="368" priority="2366247">
      <formula>$L768=0</formula>
    </cfRule>
    <cfRule type="expression" dxfId="367" priority="2366248">
      <formula>$L118:$L$664&gt;=4</formula>
    </cfRule>
  </conditionalFormatting>
  <conditionalFormatting sqref="L877 L895:L896 L871 L891 L845:L851 L999:L1000 L956:L957 L951:L954">
    <cfRule type="expression" dxfId="366" priority="2366289">
      <formula>AND($L845&gt;0,$L845&lt;4)</formula>
    </cfRule>
    <cfRule type="expression" dxfId="365" priority="2366290">
      <formula>$L845&lt;0</formula>
    </cfRule>
    <cfRule type="expression" dxfId="364" priority="2366291">
      <formula>$L845=0</formula>
    </cfRule>
    <cfRule type="expression" dxfId="363" priority="2366292">
      <formula>$L198:$L$664&gt;=4</formula>
    </cfRule>
  </conditionalFormatting>
  <conditionalFormatting sqref="L880:L890 L878">
    <cfRule type="expression" dxfId="362" priority="2366309">
      <formula>AND($L878&gt;0,$L878&lt;4)</formula>
    </cfRule>
    <cfRule type="expression" dxfId="361" priority="2366310">
      <formula>$L878&lt;0</formula>
    </cfRule>
    <cfRule type="expression" dxfId="360" priority="2366311">
      <formula>$L878=0</formula>
    </cfRule>
    <cfRule type="expression" dxfId="359" priority="2366312">
      <formula>$L232:$L$664&gt;=4</formula>
    </cfRule>
  </conditionalFormatting>
  <conditionalFormatting sqref="L750 L707:L710 L742:L745 L757:L762 L784:L785 L813:L815 L827:L830 L818 L808 L697:L699 L946 L938:L940 L931:L933 L920:L923">
    <cfRule type="expression" dxfId="358" priority="2366321">
      <formula>AND($L697&gt;0,$L697&lt;4)</formula>
    </cfRule>
    <cfRule type="expression" dxfId="357" priority="2366322">
      <formula>$L697&lt;0</formula>
    </cfRule>
    <cfRule type="expression" dxfId="356" priority="2366323">
      <formula>$L697=0</formula>
    </cfRule>
    <cfRule type="expression" dxfId="355" priority="2366324">
      <formula>$L45:$L$664&gt;=4</formula>
    </cfRule>
  </conditionalFormatting>
  <conditionalFormatting sqref="L711:L716 L724:L727 L740:L741 L746:L749 L821:L826 L816:L817 L807 L924:L930 L934:L935 L937">
    <cfRule type="expression" dxfId="354" priority="2367277">
      <formula>AND($L711&gt;0,$L711&lt;4)</formula>
    </cfRule>
    <cfRule type="expression" dxfId="353" priority="2367278">
      <formula>$L711&lt;0</formula>
    </cfRule>
    <cfRule type="expression" dxfId="352" priority="2367279">
      <formula>$L711=0</formula>
    </cfRule>
    <cfRule type="expression" dxfId="351" priority="2367280">
      <formula>$L58:$L$664&gt;=4</formula>
    </cfRule>
  </conditionalFormatting>
  <conditionalFormatting sqref="L786 L694:L696 L700:L706 L755:L756 L751:L752 L764:L767 L793:L795 L797:L801 L831:L833 L810:L812 L912:L914 L918:L919 L947:L948 L942:L945 L979:L994 L967:L970">
    <cfRule type="expression" dxfId="350" priority="2367373">
      <formula>AND($L694&gt;0,$L694&lt;4)</formula>
    </cfRule>
    <cfRule type="expression" dxfId="349" priority="2367374">
      <formula>$L694&lt;0</formula>
    </cfRule>
    <cfRule type="expression" dxfId="348" priority="2367375">
      <formula>$L694=0</formula>
    </cfRule>
    <cfRule type="expression" dxfId="347" priority="2367376">
      <formula>$L43:$L$664&gt;=4</formula>
    </cfRule>
  </conditionalFormatting>
  <conditionalFormatting sqref="L729:L739 L717:L723 L692:L693">
    <cfRule type="expression" dxfId="346" priority="2367497">
      <formula>AND($L692&gt;0,$L692&lt;4)</formula>
    </cfRule>
    <cfRule type="expression" dxfId="345" priority="2367498">
      <formula>$L692&lt;0</formula>
    </cfRule>
    <cfRule type="expression" dxfId="344" priority="2367499">
      <formula>$L692=0</formula>
    </cfRule>
    <cfRule type="expression" dxfId="343" priority="2367500">
      <formula>$L38:$L$664&gt;=4</formula>
    </cfRule>
  </conditionalFormatting>
  <conditionalFormatting sqref="L776:L783 L835:L838 L869:L870 L852:L857 L900:L904 L910:L911 L962:L965">
    <cfRule type="expression" dxfId="342" priority="2367605">
      <formula>AND($L776&gt;0,$L776&lt;4)</formula>
    </cfRule>
    <cfRule type="expression" dxfId="341" priority="2367606">
      <formula>$L776&lt;0</formula>
    </cfRule>
    <cfRule type="expression" dxfId="340" priority="2367607">
      <formula>$L776=0</formula>
    </cfRule>
    <cfRule type="expression" dxfId="339" priority="2367608">
      <formula>$L127:$L$664&gt;=4</formula>
    </cfRule>
  </conditionalFormatting>
  <conditionalFormatting sqref="L839:L842 L872:L875 L899 L997:L998 L958:L961">
    <cfRule type="expression" dxfId="338" priority="2367685">
      <formula>AND($L839&gt;0,$L839&lt;4)</formula>
    </cfRule>
    <cfRule type="expression" dxfId="337" priority="2367686">
      <formula>$L839&lt;0</formula>
    </cfRule>
    <cfRule type="expression" dxfId="336" priority="2367687">
      <formula>$L839=0</formula>
    </cfRule>
    <cfRule type="expression" dxfId="335" priority="2367688">
      <formula>$L191:$L$664&gt;=4</formula>
    </cfRule>
  </conditionalFormatting>
  <conditionalFormatting sqref="L687:L691 L667:L684 L1199">
    <cfRule type="expression" dxfId="334" priority="2367705">
      <formula>AND($L667&gt;0,$L667&lt;4)</formula>
    </cfRule>
    <cfRule type="expression" dxfId="333" priority="2367706">
      <formula>$L667&lt;0</formula>
    </cfRule>
    <cfRule type="expression" dxfId="332" priority="2367707">
      <formula>$L667=0</formula>
    </cfRule>
    <cfRule type="expression" dxfId="331" priority="2367708">
      <formula>$L12:$L$664&gt;=4</formula>
    </cfRule>
  </conditionalFormatting>
  <conditionalFormatting sqref="L606">
    <cfRule type="expression" dxfId="330" priority="2367753">
      <formula>AND($L606&gt;0,$L606&lt;4)</formula>
    </cfRule>
    <cfRule type="expression" dxfId="329" priority="2367754">
      <formula>$L606&lt;0</formula>
    </cfRule>
    <cfRule type="expression" dxfId="328" priority="2367755">
      <formula>$L606=0</formula>
    </cfRule>
    <cfRule type="expression" dxfId="327" priority="2367756">
      <formula>$L8:$L$605&gt;=4</formula>
    </cfRule>
  </conditionalFormatting>
  <conditionalFormatting sqref="L618">
    <cfRule type="expression" dxfId="326" priority="2367757">
      <formula>AND($L618&gt;0,$L618&lt;4)</formula>
    </cfRule>
    <cfRule type="expression" dxfId="325" priority="2367758">
      <formula>$L618&lt;0</formula>
    </cfRule>
    <cfRule type="expression" dxfId="324" priority="2367759">
      <formula>$L618=0</formula>
    </cfRule>
    <cfRule type="expression" dxfId="323" priority="2367760">
      <formula>$L8:$L$617&gt;=4</formula>
    </cfRule>
  </conditionalFormatting>
  <conditionalFormatting sqref="L728">
    <cfRule type="expression" dxfId="322" priority="2367761">
      <formula>AND($L728&gt;0,$L728&lt;4)</formula>
    </cfRule>
    <cfRule type="expression" dxfId="321" priority="2367762">
      <formula>$L728&lt;0</formula>
    </cfRule>
    <cfRule type="expression" dxfId="320" priority="2367763">
      <formula>$L728=0</formula>
    </cfRule>
    <cfRule type="expression" dxfId="319" priority="2367764">
      <formula>$L8:$L$726&gt;=4</formula>
    </cfRule>
  </conditionalFormatting>
  <conditionalFormatting sqref="L763">
    <cfRule type="expression" dxfId="318" priority="2367765">
      <formula>AND($L763&gt;0,$L763&lt;4)</formula>
    </cfRule>
    <cfRule type="expression" dxfId="317" priority="2367766">
      <formula>$L763&lt;0</formula>
    </cfRule>
    <cfRule type="expression" dxfId="316" priority="2367767">
      <formula>$L763=0</formula>
    </cfRule>
    <cfRule type="expression" dxfId="315" priority="2367768">
      <formula>$L8:$L$762&gt;=4</formula>
    </cfRule>
  </conditionalFormatting>
  <conditionalFormatting sqref="L769">
    <cfRule type="expression" dxfId="314" priority="2367769">
      <formula>AND($L769&gt;0,$L769&lt;4)</formula>
    </cfRule>
    <cfRule type="expression" dxfId="313" priority="2367770">
      <formula>$L769&lt;0</formula>
    </cfRule>
    <cfRule type="expression" dxfId="312" priority="2367771">
      <formula>$L769=0</formula>
    </cfRule>
    <cfRule type="expression" dxfId="311" priority="2367772">
      <formula>$L8:$L$768&gt;=4</formula>
    </cfRule>
  </conditionalFormatting>
  <conditionalFormatting sqref="L796">
    <cfRule type="expression" dxfId="310" priority="2367773">
      <formula>AND($L796&gt;0,$L796&lt;4)</formula>
    </cfRule>
    <cfRule type="expression" dxfId="309" priority="2367774">
      <formula>$L796&lt;0</formula>
    </cfRule>
    <cfRule type="expression" dxfId="308" priority="2367775">
      <formula>$L796=0</formula>
    </cfRule>
    <cfRule type="expression" dxfId="307" priority="2367776">
      <formula>$L8:$L$795&gt;=4</formula>
    </cfRule>
  </conditionalFormatting>
  <conditionalFormatting sqref="L809">
    <cfRule type="expression" dxfId="306" priority="2367777">
      <formula>AND($L809&gt;0,$L809&lt;4)</formula>
    </cfRule>
    <cfRule type="expression" dxfId="305" priority="2367778">
      <formula>$L809&lt;0</formula>
    </cfRule>
    <cfRule type="expression" dxfId="304" priority="2367779">
      <formula>$L809=0</formula>
    </cfRule>
    <cfRule type="expression" dxfId="303" priority="2367780">
      <formula>$L8:$L$808&gt;=4</formula>
    </cfRule>
  </conditionalFormatting>
  <conditionalFormatting sqref="L859">
    <cfRule type="expression" dxfId="302" priority="2367781">
      <formula>AND($L859&gt;0,$L859&lt;4)</formula>
    </cfRule>
    <cfRule type="expression" dxfId="301" priority="2367782">
      <formula>$L859&lt;0</formula>
    </cfRule>
    <cfRule type="expression" dxfId="300" priority="2367783">
      <formula>$L859=0</formula>
    </cfRule>
    <cfRule type="expression" dxfId="299" priority="2367784">
      <formula>$L8:$L$858&gt;=4</formula>
    </cfRule>
  </conditionalFormatting>
  <conditionalFormatting sqref="L876">
    <cfRule type="expression" dxfId="298" priority="2367785">
      <formula>AND($L876&gt;0,$L876&lt;4)</formula>
    </cfRule>
    <cfRule type="expression" dxfId="297" priority="2367786">
      <formula>$L876&lt;0</formula>
    </cfRule>
    <cfRule type="expression" dxfId="296" priority="2367787">
      <formula>$L876=0</formula>
    </cfRule>
    <cfRule type="expression" dxfId="295" priority="2367788">
      <formula>$L8:$L$875&gt;=4</formula>
    </cfRule>
  </conditionalFormatting>
  <conditionalFormatting sqref="L879">
    <cfRule type="expression" dxfId="294" priority="2367789">
      <formula>AND($L879&gt;0,$L879&lt;4)</formula>
    </cfRule>
    <cfRule type="expression" dxfId="293" priority="2367790">
      <formula>$L879&lt;0</formula>
    </cfRule>
    <cfRule type="expression" dxfId="292" priority="2367791">
      <formula>$L879=0</formula>
    </cfRule>
    <cfRule type="expression" dxfId="291" priority="2367792">
      <formula>$L8:$L$878&gt;=4</formula>
    </cfRule>
  </conditionalFormatting>
  <conditionalFormatting sqref="L637:L638">
    <cfRule type="expression" dxfId="290" priority="2367853">
      <formula>AND($L637&gt;0,$L637&lt;4)</formula>
    </cfRule>
    <cfRule type="expression" dxfId="289" priority="2367854">
      <formula>$L637&lt;0</formula>
    </cfRule>
    <cfRule type="expression" dxfId="288" priority="2367855">
      <formula>$L637=0</formula>
    </cfRule>
    <cfRule type="expression" dxfId="287" priority="2367856">
      <formula>$L8:$L$636&gt;=4</formula>
    </cfRule>
  </conditionalFormatting>
  <conditionalFormatting sqref="L753:L754">
    <cfRule type="expression" dxfId="286" priority="2367857">
      <formula>AND($L753&gt;0,$L753&lt;4)</formula>
    </cfRule>
    <cfRule type="expression" dxfId="285" priority="2367858">
      <formula>$L753&lt;0</formula>
    </cfRule>
    <cfRule type="expression" dxfId="284" priority="2367859">
      <formula>$L753=0</formula>
    </cfRule>
    <cfRule type="expression" dxfId="283" priority="2367860">
      <formula>$L8:$L$752&gt;=4</formula>
    </cfRule>
  </conditionalFormatting>
  <conditionalFormatting sqref="L819:L820">
    <cfRule type="expression" dxfId="282" priority="2367861">
      <formula>AND($L819&gt;0,$L819&lt;4)</formula>
    </cfRule>
    <cfRule type="expression" dxfId="281" priority="2367862">
      <formula>$L819&lt;0</formula>
    </cfRule>
    <cfRule type="expression" dxfId="280" priority="2367863">
      <formula>$L819=0</formula>
    </cfRule>
    <cfRule type="expression" dxfId="279" priority="2367864">
      <formula>$L8:$L$818&gt;=4</formula>
    </cfRule>
  </conditionalFormatting>
  <conditionalFormatting sqref="L843:L844">
    <cfRule type="expression" dxfId="278" priority="2367865">
      <formula>AND($L843&gt;0,$L843&lt;4)</formula>
    </cfRule>
    <cfRule type="expression" dxfId="277" priority="2367866">
      <formula>$L843&lt;0</formula>
    </cfRule>
    <cfRule type="expression" dxfId="276" priority="2367867">
      <formula>$L843=0</formula>
    </cfRule>
    <cfRule type="expression" dxfId="275" priority="2367868">
      <formula>$L8:$L$842&gt;=4</formula>
    </cfRule>
  </conditionalFormatting>
  <conditionalFormatting sqref="L866:L867">
    <cfRule type="expression" dxfId="274" priority="2367869">
      <formula>AND($L866&gt;0,$L866&lt;4)</formula>
    </cfRule>
    <cfRule type="expression" dxfId="273" priority="2367870">
      <formula>$L866&lt;0</formula>
    </cfRule>
    <cfRule type="expression" dxfId="272" priority="2367871">
      <formula>$L866=0</formula>
    </cfRule>
    <cfRule type="expression" dxfId="271" priority="2367872">
      <formula>$L8:$L$865&gt;=4</formula>
    </cfRule>
  </conditionalFormatting>
  <conditionalFormatting sqref="L892:L894">
    <cfRule type="expression" dxfId="270" priority="2367873">
      <formula>AND($L892&gt;0,$L892&lt;4)</formula>
    </cfRule>
    <cfRule type="expression" dxfId="269" priority="2367874">
      <formula>$L892&lt;0</formula>
    </cfRule>
    <cfRule type="expression" dxfId="268" priority="2367875">
      <formula>$L892=0</formula>
    </cfRule>
    <cfRule type="expression" dxfId="267" priority="2367876">
      <formula>$L8:$L$891&gt;=4</formula>
    </cfRule>
  </conditionalFormatting>
  <conditionalFormatting sqref="C920:K920 M920:Q920 M924:Q924 C924:K924">
    <cfRule type="expression" dxfId="266" priority="2368853">
      <formula>AND($L920&gt;0,$L920&lt;4)</formula>
    </cfRule>
    <cfRule type="expression" dxfId="265" priority="2368854">
      <formula>$L920&lt;0</formula>
    </cfRule>
    <cfRule type="expression" dxfId="264" priority="2368855">
      <formula>$L920=0</formula>
    </cfRule>
    <cfRule type="expression" dxfId="263" priority="2368856">
      <formula>$L$76:$L834&gt;=4</formula>
    </cfRule>
  </conditionalFormatting>
  <conditionalFormatting sqref="L1002">
    <cfRule type="expression" dxfId="262" priority="2368977">
      <formula>AND($L1002&gt;0,$L1002&lt;4)</formula>
    </cfRule>
    <cfRule type="expression" dxfId="261" priority="2368978">
      <formula>$L1002&lt;0</formula>
    </cfRule>
    <cfRule type="expression" dxfId="260" priority="2368979">
      <formula>$L1002=0</formula>
    </cfRule>
    <cfRule type="expression" dxfId="259" priority="2368980">
      <formula>$L357:$L$664&gt;=4</formula>
    </cfRule>
  </conditionalFormatting>
  <conditionalFormatting sqref="D1028:K1028 M1028:Q1028 C1045:K1046 M1045:Q1046 C1036:K1039 M1036:Q1039 M1212:Q1212 C1212:K1212 N1213:N1216 N1229 C1218:K1218 O1218:Q1218 M1218">
    <cfRule type="expression" dxfId="258" priority="2369005">
      <formula>AND($L1028&gt;0,$L1028&lt;4)</formula>
    </cfRule>
    <cfRule type="expression" dxfId="257" priority="2369006">
      <formula>$L1028&lt;0</formula>
    </cfRule>
    <cfRule type="expression" dxfId="256" priority="2369007">
      <formula>$L1028=0</formula>
    </cfRule>
    <cfRule type="expression" dxfId="255" priority="2369008">
      <formula>$L85:$L$956&gt;=4</formula>
    </cfRule>
  </conditionalFormatting>
  <conditionalFormatting sqref="M1086:Q1086 C1086:K1086 C1070:K1070 M1070:Q1070 M1066:Q1068 C1066:K1068 M1097:Q1097 C1097:K1097 M1131:Q1133 M1142:Q1143 C1142:K1143 C1131:K1133 C1128:K1128 C1139:K1139 M1139:Q1139 M1128:Q1128">
    <cfRule type="expression" dxfId="254" priority="2369045">
      <formula>AND($L1066&gt;0,$L1066&lt;4)</formula>
    </cfRule>
    <cfRule type="expression" dxfId="253" priority="2369046">
      <formula>$L1066&lt;0</formula>
    </cfRule>
    <cfRule type="expression" dxfId="252" priority="2369047">
      <formula>$L1066=0</formula>
    </cfRule>
    <cfRule type="expression" dxfId="251" priority="2369048">
      <formula>$L139:$L$956&gt;=4</formula>
    </cfRule>
  </conditionalFormatting>
  <conditionalFormatting sqref="M1054:Q1054 C1200:K1201 M1200:Q1201 C1195:K1195 C1199 C1054:K1054 M1195:Q1195">
    <cfRule type="expression" dxfId="250" priority="2369109">
      <formula>AND($L1054&gt;0,$L1054&lt;4)</formula>
    </cfRule>
    <cfRule type="expression" dxfId="249" priority="2369110">
      <formula>$L1054&lt;0</formula>
    </cfRule>
    <cfRule type="expression" dxfId="248" priority="2369111">
      <formula>$L1054=0</formula>
    </cfRule>
    <cfRule type="expression" dxfId="247" priority="2369112">
      <formula>$L116:$L$956&gt;=4</formula>
    </cfRule>
  </conditionalFormatting>
  <conditionalFormatting sqref="C1085:K1085 C1072:K1074 M1072:Q1074 C1076:K1077 M1076:Q1077 M1085:Q1085 M1144:Q1145 C1144:K1145 C1172:K1173 M1172:Q1173 M1149:Q1150 C1149:K1150">
    <cfRule type="expression" dxfId="246" priority="2369137">
      <formula>AND($L1072&gt;0,$L1072&lt;4)</formula>
    </cfRule>
    <cfRule type="expression" dxfId="245" priority="2369138">
      <formula>$L1072&lt;0</formula>
    </cfRule>
    <cfRule type="expression" dxfId="244" priority="2369139">
      <formula>$L1072=0</formula>
    </cfRule>
    <cfRule type="expression" dxfId="243" priority="2369140">
      <formula>$L143:$L$956&gt;=4</formula>
    </cfRule>
  </conditionalFormatting>
  <conditionalFormatting sqref="C1028 M1029:Q1031 C1029:K1031 N1217:N1220 N1223:N1228 M1215:M1216 O1215:Q1216 C1215:K1216">
    <cfRule type="expression" dxfId="242" priority="2369185">
      <formula>AND($L1028&gt;0,$L1028&lt;4)</formula>
    </cfRule>
    <cfRule type="expression" dxfId="241" priority="2369186">
      <formula>$L1028&lt;0</formula>
    </cfRule>
    <cfRule type="expression" dxfId="240" priority="2369187">
      <formula>$L1028=0</formula>
    </cfRule>
    <cfRule type="expression" dxfId="239" priority="2369188">
      <formula>$L84:$L$956&gt;=4</formula>
    </cfRule>
  </conditionalFormatting>
  <conditionalFormatting sqref="M1082:Q1082 C1082:K1082 M1079:Q1079 C1079:K1079 C1146:K1147 M1146:Q1147 M1168:Q1169 C1168:K1169 M1155:Q1156 D1156:K1156 C1166:K1166 M1166:Q1166 C1175:K1175 M1175:Q1175 C1155:K1155">
    <cfRule type="expression" dxfId="238" priority="2369213">
      <formula>AND($L1079&gt;0,$L1079&lt;4)</formula>
    </cfRule>
    <cfRule type="expression" dxfId="237" priority="2369214">
      <formula>$L1079&lt;0</formula>
    </cfRule>
    <cfRule type="expression" dxfId="236" priority="2369215">
      <formula>$L1079=0</formula>
    </cfRule>
    <cfRule type="expression" dxfId="235" priority="2369216">
      <formula>$L148:$L$956&gt;=4</formula>
    </cfRule>
  </conditionalFormatting>
  <conditionalFormatting sqref="C1087:K1087 C1064:K1065 M1064:Q1065 M1087:Q1088 C1088:D1088 F1088:K1088 C1102:K1102 M1102:Q1102 C1129:K1130 M1129:Q1130 M1134:Q1138 C1134:K1138 M1141:Q1141 C1141:K1141">
    <cfRule type="expression" dxfId="234" priority="2369273">
      <formula>AND($L1064&gt;0,$L1064&lt;4)</formula>
    </cfRule>
    <cfRule type="expression" dxfId="233" priority="2369274">
      <formula>$L1064&lt;0</formula>
    </cfRule>
    <cfRule type="expression" dxfId="232" priority="2369275">
      <formula>$L1064=0</formula>
    </cfRule>
    <cfRule type="expression" dxfId="231" priority="2369276">
      <formula>$L138:$L$956&gt;=4</formula>
    </cfRule>
  </conditionalFormatting>
  <conditionalFormatting sqref="C1094:K1094 M1094:Q1094 C1099:K1100 M1099:Q1100 M1125:Q1125 C1125:K1125">
    <cfRule type="expression" dxfId="230" priority="2369329">
      <formula>AND($L1094&gt;0,$L1094&lt;4)</formula>
    </cfRule>
    <cfRule type="expression" dxfId="229" priority="2369330">
      <formula>$L1094&lt;0</formula>
    </cfRule>
    <cfRule type="expression" dxfId="228" priority="2369331">
      <formula>$L1094=0</formula>
    </cfRule>
    <cfRule type="expression" dxfId="227" priority="2369332">
      <formula>$L170:$L$956&gt;=4</formula>
    </cfRule>
  </conditionalFormatting>
  <conditionalFormatting sqref="M1103:Q1103 C1095:K1096 M1095:Q1096 C1101:K1101 M1101:Q1101 C1103:K1103 M1126:Q1127 M1123:Q1124 C1123:K1124 C1126:K1127 M1140:Q1140 C1140:K1140">
    <cfRule type="expression" dxfId="226" priority="2369353">
      <formula>AND($L1095&gt;0,$L1095&lt;4)</formula>
    </cfRule>
    <cfRule type="expression" dxfId="225" priority="2369354">
      <formula>$L1095&lt;0</formula>
    </cfRule>
    <cfRule type="expression" dxfId="224" priority="2369355">
      <formula>$L1095=0</formula>
    </cfRule>
    <cfRule type="expression" dxfId="223" priority="2369356">
      <formula>$L170:$L$956&gt;=4</formula>
    </cfRule>
  </conditionalFormatting>
  <conditionalFormatting sqref="C1104:K1104 M1104:Q1104">
    <cfRule type="expression" dxfId="222" priority="2369401">
      <formula>AND($L1104&gt;0,$L1104&lt;4)</formula>
    </cfRule>
    <cfRule type="expression" dxfId="221" priority="2369402">
      <formula>$L1104&lt;0</formula>
    </cfRule>
    <cfRule type="expression" dxfId="220" priority="2369403">
      <formula>$L1104=0</formula>
    </cfRule>
    <cfRule type="expression" dxfId="219" priority="2369404">
      <formula>$L184:$L$956&gt;=4</formula>
    </cfRule>
  </conditionalFormatting>
  <conditionalFormatting sqref="C1056:K1058 M1056:Q1058 M1182:Q1185 C1182:K1185 C1161:K1161 M1161:Q1161 C1180:K1180 M1180:Q1180">
    <cfRule type="expression" dxfId="218" priority="2369409">
      <formula>AND($L1056&gt;0,$L1056&lt;4)</formula>
    </cfRule>
    <cfRule type="expression" dxfId="217" priority="2369410">
      <formula>$L1056&lt;0</formula>
    </cfRule>
    <cfRule type="expression" dxfId="216" priority="2369411">
      <formula>$L1056=0</formula>
    </cfRule>
    <cfRule type="expression" dxfId="215" priority="2369412">
      <formula>$L122:$L$956&gt;=4</formula>
    </cfRule>
  </conditionalFormatting>
  <conditionalFormatting sqref="C1032:K1032 M1032:Q1032 C1043:K1043 M1043:Q1043 C1041:K1041 M1041:Q1041 M1213:M1214 O1213:Q1214 C1213:K1214 M1217 C1217:K1217 O1217:Q1217 N1221:N1222">
    <cfRule type="expression" dxfId="214" priority="2369441">
      <formula>AND($L1032&gt;0,$L1032&lt;4)</formula>
    </cfRule>
    <cfRule type="expression" dxfId="213" priority="2369442">
      <formula>$L1032&lt;0</formula>
    </cfRule>
    <cfRule type="expression" dxfId="212" priority="2369443">
      <formula>$L1032=0</formula>
    </cfRule>
    <cfRule type="expression" dxfId="211" priority="2369444">
      <formula>$L87:$L$956&gt;=4</formula>
    </cfRule>
  </conditionalFormatting>
  <conditionalFormatting sqref="C1181:K1181 C1170:K1171 M1170:Q1171 C1157:K1158 M1157:Q1158 M1160:Q1160 C1160:K1160 C1163:K1163 C1177:K1177 M1177:Q1177 M1181:Q1181 M1163:Q1163">
    <cfRule type="expression" dxfId="210" priority="2369493">
      <formula>AND($L1157&gt;0,$L1157&lt;4)</formula>
    </cfRule>
    <cfRule type="expression" dxfId="209" priority="2369494">
      <formula>$L1157&lt;0</formula>
    </cfRule>
    <cfRule type="expression" dxfId="208" priority="2369495">
      <formula>$L1157=0</formula>
    </cfRule>
    <cfRule type="expression" dxfId="207" priority="2369496">
      <formula>$L224:$L$956&gt;=4</formula>
    </cfRule>
  </conditionalFormatting>
  <conditionalFormatting sqref="M1069:Q1069 M1071:Q1071 C1069:K1069 C1063:K1063 C1071:K1071 M1063:Q1063 M1098:Q1098 C1098:K1098">
    <cfRule type="expression" dxfId="206" priority="2369541">
      <formula>AND($L1063&gt;0,$L1063&lt;4)</formula>
    </cfRule>
    <cfRule type="expression" dxfId="205" priority="2369542">
      <formula>$L1063&lt;0</formula>
    </cfRule>
    <cfRule type="expression" dxfId="204" priority="2369543">
      <formula>$L1063=0</formula>
    </cfRule>
    <cfRule type="expression" dxfId="203" priority="2369544">
      <formula>$L135:$L$956&gt;=4</formula>
    </cfRule>
  </conditionalFormatting>
  <conditionalFormatting sqref="C1052:K1052 C1049:K1050 M1049:Q1050 M1052:Q1052 C1196:K1196 M1208:Q1208 D1208:K1208 M1191:Q1191 M1196:Q1196 C1191:K1191">
    <cfRule type="expression" dxfId="202" priority="2369573">
      <formula>AND($L1049&gt;0,$L1049&lt;4)</formula>
    </cfRule>
    <cfRule type="expression" dxfId="201" priority="2369574">
      <formula>$L1049&lt;0</formula>
    </cfRule>
    <cfRule type="expression" dxfId="200" priority="2369575">
      <formula>$L1049=0</formula>
    </cfRule>
    <cfRule type="expression" dxfId="199" priority="2369576">
      <formula>$L110:$L$956&gt;=4</formula>
    </cfRule>
  </conditionalFormatting>
  <conditionalFormatting sqref="M1148:Q1148 M1080:Q1081 C1080:K1081 M1178:Q1179 C1178:K1179 M1176:Q1176 C1159:K1159 M1159:Q1159 C1176:K1176 C1164:K1164 C1153:K1153 M1153:Q1153 M1164:Q1164 C1148:K1148">
    <cfRule type="expression" dxfId="198" priority="2369613">
      <formula>AND($L1080&gt;0,$L1080&lt;4)</formula>
    </cfRule>
    <cfRule type="expression" dxfId="197" priority="2369614">
      <formula>$L1080&lt;0</formula>
    </cfRule>
    <cfRule type="expression" dxfId="196" priority="2369615">
      <formula>$L1080=0</formula>
    </cfRule>
    <cfRule type="expression" dxfId="195" priority="2369616">
      <formula>$L148:$L$956&gt;=4</formula>
    </cfRule>
  </conditionalFormatting>
  <conditionalFormatting sqref="M1025:Q1025 C1025:K1025 N1240:N1242">
    <cfRule type="expression" dxfId="194" priority="2369669">
      <formula>AND($L1025&gt;0,$L1025&lt;4)</formula>
    </cfRule>
    <cfRule type="expression" dxfId="193" priority="2369670">
      <formula>$L1025&lt;0</formula>
    </cfRule>
    <cfRule type="expression" dxfId="192" priority="2369671">
      <formula>$L1025=0</formula>
    </cfRule>
    <cfRule type="expression" dxfId="191" priority="2369672">
      <formula>$L76:$L$956&gt;=4</formula>
    </cfRule>
  </conditionalFormatting>
  <conditionalFormatting sqref="M1078:Q1078 C1075:K1075 M1075:Q1075 C1083:K1084 M1083:Q1084 C1078:K1078 M1174:Q1174 C1174:K1174 M1154:Q1154 M1165:Q1165 C1154:K1154 C1165:K1165 M1151:Q1152 C1151:K1152 C1167:K1167 M1167:Q1167">
    <cfRule type="expression" dxfId="190" priority="2369693">
      <formula>AND($L1075&gt;0,$L1075&lt;4)</formula>
    </cfRule>
    <cfRule type="expression" dxfId="189" priority="2369694">
      <formula>$L1075&lt;0</formula>
    </cfRule>
    <cfRule type="expression" dxfId="188" priority="2369695">
      <formula>$L1075=0</formula>
    </cfRule>
    <cfRule type="expression" dxfId="187" priority="2369696">
      <formula>$L145:$L$956&gt;=4</formula>
    </cfRule>
  </conditionalFormatting>
  <conditionalFormatting sqref="M1027:Q1027 C1027:K1027 N1243:N1244">
    <cfRule type="expression" dxfId="186" priority="2369757">
      <formula>AND($L1027&gt;0,$L1027&lt;4)</formula>
    </cfRule>
    <cfRule type="expression" dxfId="185" priority="2369758">
      <formula>$L1027&lt;0</formula>
    </cfRule>
    <cfRule type="expression" dxfId="184" priority="2369759">
      <formula>$L1027=0</formula>
    </cfRule>
    <cfRule type="expression" dxfId="183" priority="2369760">
      <formula>$L80:$L$956&gt;=4</formula>
    </cfRule>
  </conditionalFormatting>
  <conditionalFormatting sqref="C1091 M1092:Q1093 C1092:K1093 F1091 C1122:K1122 M1122:Q1122 C1119:K1119 M1119:Q1119">
    <cfRule type="expression" dxfId="182" priority="2369789">
      <formula>AND($L1091&gt;0,$L1091&lt;4)</formula>
    </cfRule>
    <cfRule type="expression" dxfId="181" priority="2369790">
      <formula>$L1091&lt;0</formula>
    </cfRule>
    <cfRule type="expression" dxfId="180" priority="2369791">
      <formula>$L1091=0</formula>
    </cfRule>
    <cfRule type="expression" dxfId="179" priority="2369792">
      <formula>$L168:$L$956&gt;=4</formula>
    </cfRule>
  </conditionalFormatting>
  <conditionalFormatting sqref="C1044:K1044 C1040:K1040 M1040:Q1040 M1034:Q1035 C1034:K1035 M1044:Q1044 M1194:Q1194 C1194:K1194">
    <cfRule type="expression" dxfId="178" priority="2369821">
      <formula>AND($L1034&gt;0,$L1034&lt;4)</formula>
    </cfRule>
    <cfRule type="expression" dxfId="177" priority="2369822">
      <formula>$L1034&lt;0</formula>
    </cfRule>
    <cfRule type="expression" dxfId="176" priority="2369823">
      <formula>$L1034=0</formula>
    </cfRule>
    <cfRule type="expression" dxfId="175" priority="2369824">
      <formula>$L92:$L$956&gt;=4</formula>
    </cfRule>
  </conditionalFormatting>
  <conditionalFormatting sqref="M1033:Q1033 C1033:K1033 C1026:K1026 M1026:Q1026 M1042:Q1042 C1042:K1042 N1245 D1222:K1222 O1222:Q1222 M1222">
    <cfRule type="expression" dxfId="174" priority="2369869">
      <formula>AND($L1026&gt;0,$L1026&lt;4)</formula>
    </cfRule>
    <cfRule type="expression" dxfId="173" priority="2369870">
      <formula>$L1026&lt;0</formula>
    </cfRule>
    <cfRule type="expression" dxfId="172" priority="2369871">
      <formula>$L1026=0</formula>
    </cfRule>
    <cfRule type="expression" dxfId="171" priority="2369872">
      <formula>$L80:$L$956&gt;=4</formula>
    </cfRule>
  </conditionalFormatting>
  <conditionalFormatting sqref="M1062:Q1062 C1156 C1190:K1190 C1162:K1162 M1162:Q1162 C1202:K1202 M1202:Q1202 C1062:K1062 M1190:Q1190">
    <cfRule type="expression" dxfId="170" priority="2369913">
      <formula>AND($L1062&gt;0,$L1062&lt;4)</formula>
    </cfRule>
    <cfRule type="expression" dxfId="169" priority="2369914">
      <formula>$L1062&lt;0</formula>
    </cfRule>
    <cfRule type="expression" dxfId="168" priority="2369915">
      <formula>$L1062=0</formula>
    </cfRule>
    <cfRule type="expression" dxfId="167" priority="2369916">
      <formula>$L127:$L$956&gt;=4</formula>
    </cfRule>
  </conditionalFormatting>
  <conditionalFormatting sqref="C1051:K1051 M1051:Q1051 M1209:Q1211 D1209:K1211">
    <cfRule type="expression" dxfId="166" priority="2369949">
      <formula>AND($L1051&gt;0,$L1051&lt;4)</formula>
    </cfRule>
    <cfRule type="expression" dxfId="165" priority="2369950">
      <formula>$L1051&lt;0</formula>
    </cfRule>
    <cfRule type="expression" dxfId="164" priority="2369951">
      <formula>$L1051=0</formula>
    </cfRule>
    <cfRule type="expression" dxfId="163" priority="2369952">
      <formula>$L111:$L$956&gt;=4</formula>
    </cfRule>
  </conditionalFormatting>
  <conditionalFormatting sqref="C1048:D1048 M1047:Q1048 F1048:K1048 C1047:K1047 C1208:C1211">
    <cfRule type="expression" dxfId="162" priority="2369985">
      <formula>AND($L1047&gt;0,$L1047&lt;4)</formula>
    </cfRule>
    <cfRule type="expression" dxfId="161" priority="2369986">
      <formula>$L1047&lt;0</formula>
    </cfRule>
    <cfRule type="expression" dxfId="160" priority="2369987">
      <formula>$L1047=0</formula>
    </cfRule>
    <cfRule type="expression" dxfId="159" priority="2369988">
      <formula>$L106:$L$956&gt;=4</formula>
    </cfRule>
  </conditionalFormatting>
  <conditionalFormatting sqref="C1109:K1109 M1113:Q1114 C1113:K1114 M1106:Q1106 C1106:K1106 M1109:Q1109 M1091:Q1091 G1091:K1091 D1091:E1091 M1120:Q1121 C1120:K1121">
    <cfRule type="expression" dxfId="158" priority="2370005">
      <formula>AND($L1091&gt;0,$L1091&lt;4)</formula>
    </cfRule>
    <cfRule type="expression" dxfId="157" priority="2370006">
      <formula>$L1091&lt;0</formula>
    </cfRule>
    <cfRule type="expression" dxfId="156" priority="2370007">
      <formula>$L1091=0</formula>
    </cfRule>
    <cfRule type="expression" dxfId="155" priority="2370008">
      <formula>$L169:$L$956&gt;=4</formula>
    </cfRule>
  </conditionalFormatting>
  <conditionalFormatting sqref="C1105:K1105 M1115:Q1116 M1105:Q1105 C1115:K1116">
    <cfRule type="expression" dxfId="154" priority="2370061">
      <formula>AND($L1105&gt;0,$L1105&lt;4)</formula>
    </cfRule>
    <cfRule type="expression" dxfId="153" priority="2370062">
      <formula>$L1105&lt;0</formula>
    </cfRule>
    <cfRule type="expression" dxfId="152" priority="2370063">
      <formula>$L1105=0</formula>
    </cfRule>
    <cfRule type="expression" dxfId="151" priority="2370064">
      <formula>$L186:$L$956&gt;=4</formula>
    </cfRule>
  </conditionalFormatting>
  <conditionalFormatting sqref="E1106">
    <cfRule type="expression" dxfId="150" priority="2370077">
      <formula>AND($L1088&gt;0,$L1088&lt;4)</formula>
    </cfRule>
    <cfRule type="expression" dxfId="149" priority="2370078">
      <formula>$L1088&lt;0</formula>
    </cfRule>
    <cfRule type="expression" dxfId="148" priority="2370079">
      <formula>$L1088=0</formula>
    </cfRule>
    <cfRule type="expression" dxfId="147" priority="2370080">
      <formula>$L162:$L$956&gt;=4</formula>
    </cfRule>
  </conditionalFormatting>
  <conditionalFormatting sqref="O1223:Q1223 C1222 C1223:K1223 M1223">
    <cfRule type="expression" dxfId="146" priority="2370081">
      <formula>AND($L1222&gt;0,$L1222&lt;4)</formula>
    </cfRule>
    <cfRule type="expression" dxfId="145" priority="2370082">
      <formula>$L1222&lt;0</formula>
    </cfRule>
    <cfRule type="expression" dxfId="144" priority="2370083">
      <formula>$L1222=0</formula>
    </cfRule>
    <cfRule type="expression" dxfId="143" priority="2370084">
      <formula>$L270:$L$956&gt;=4</formula>
    </cfRule>
  </conditionalFormatting>
  <conditionalFormatting sqref="C1197:K1197 C1059:K1061 M1059:Q1061 M1186:Q1187 C1186:K1187 M1203:Q1204 C1203:K1204 M1197:Q1197">
    <cfRule type="expression" dxfId="142" priority="2370097">
      <formula>AND($L1059&gt;0,$L1059&lt;4)</formula>
    </cfRule>
    <cfRule type="expression" dxfId="141" priority="2370098">
      <formula>$L1059&lt;0</formula>
    </cfRule>
    <cfRule type="expression" dxfId="140" priority="2370099">
      <formula>$L1059=0</formula>
    </cfRule>
    <cfRule type="expression" dxfId="139" priority="2370100">
      <formula>$L123:$L$956&gt;=4</formula>
    </cfRule>
  </conditionalFormatting>
  <conditionalFormatting sqref="O1224:Q1224 N1230:N1235 C1224:K1224 M1224">
    <cfRule type="expression" dxfId="138" priority="2370129">
      <formula>AND($L1224&gt;0,$L1224&lt;4)</formula>
    </cfRule>
    <cfRule type="expression" dxfId="137" priority="2370130">
      <formula>$L1224&lt;0</formula>
    </cfRule>
    <cfRule type="expression" dxfId="136" priority="2370131">
      <formula>$L1224=0</formula>
    </cfRule>
    <cfRule type="expression" dxfId="135" priority="2370132">
      <formula>$L273:$L$956&gt;=4</formula>
    </cfRule>
  </conditionalFormatting>
  <conditionalFormatting sqref="M1053:Q1053 C1055:K1055 M1055:Q1055 C1053:K1053 C1192:K1193 M1188:Q1189 C1188:K1189 M1192:Q1193 M1205:Q1207 C1205:K1207 M1198:Q1199 D1199:K1199 C1198:K1198">
    <cfRule type="expression" dxfId="134" priority="2370157">
      <formula>AND($L1053&gt;0,$L1053&lt;4)</formula>
    </cfRule>
    <cfRule type="expression" dxfId="133" priority="2370158">
      <formula>$L1053&lt;0</formula>
    </cfRule>
    <cfRule type="expression" dxfId="132" priority="2370159">
      <formula>$L1053=0</formula>
    </cfRule>
    <cfRule type="expression" dxfId="131" priority="2370160">
      <formula>$L116:$L$956&gt;=4</formula>
    </cfRule>
  </conditionalFormatting>
  <conditionalFormatting sqref="E1049:E1050">
    <cfRule type="expression" dxfId="130" priority="2370221">
      <formula>AND($L1048&gt;0,$L1048&lt;4)</formula>
    </cfRule>
    <cfRule type="expression" dxfId="129" priority="2370222">
      <formula>$L1048&lt;0</formula>
    </cfRule>
    <cfRule type="expression" dxfId="128" priority="2370223">
      <formula>$L1048=0</formula>
    </cfRule>
    <cfRule type="expression" dxfId="127" priority="2370224">
      <formula>$L107:$L$956&gt;=4</formula>
    </cfRule>
  </conditionalFormatting>
  <conditionalFormatting sqref="M1219:M1220 O1219:Q1220 C1219:K1220 C1225:K1225 M1225 O1225:Q1225">
    <cfRule type="expression" dxfId="126" priority="2370225">
      <formula>AND($L1219&gt;0,$L1219&lt;4)</formula>
    </cfRule>
    <cfRule type="expression" dxfId="125" priority="2370226">
      <formula>$L1219&lt;0</formula>
    </cfRule>
    <cfRule type="expression" dxfId="124" priority="2370227">
      <formula>$L1219=0</formula>
    </cfRule>
    <cfRule type="expression" dxfId="123" priority="2370228">
      <formula>$L271:$L$956&gt;=4</formula>
    </cfRule>
  </conditionalFormatting>
  <conditionalFormatting sqref="M1089:Q1090 C1089:K1090 M1107:Q1108 C1110:K1112 M1110:Q1112 C1107:K1108 M1117:Q1118 C1117:K1118">
    <cfRule type="expression" dxfId="122" priority="2370229">
      <formula>AND($L1089&gt;0,$L1089&lt;4)</formula>
    </cfRule>
    <cfRule type="expression" dxfId="121" priority="2370230">
      <formula>$L1089&lt;0</formula>
    </cfRule>
    <cfRule type="expression" dxfId="120" priority="2370231">
      <formula>$L1089=0</formula>
    </cfRule>
    <cfRule type="expression" dxfId="119" priority="2370232">
      <formula>$L168:$L$956&gt;=4</formula>
    </cfRule>
  </conditionalFormatting>
  <conditionalFormatting sqref="L1001">
    <cfRule type="expression" dxfId="118" priority="2370261">
      <formula>AND($L1001&gt;0,$L1001&lt;4)</formula>
    </cfRule>
    <cfRule type="expression" dxfId="117" priority="2370262">
      <formula>$L1001&lt;0</formula>
    </cfRule>
    <cfRule type="expression" dxfId="116" priority="2370263">
      <formula>$L1001=0</formula>
    </cfRule>
    <cfRule type="expression" dxfId="115" priority="2370264">
      <formula>$L8:$L$1000&gt;=4</formula>
    </cfRule>
  </conditionalFormatting>
  <conditionalFormatting sqref="L971">
    <cfRule type="expression" dxfId="114" priority="2370265">
      <formula>AND($L971&gt;0,$L971&lt;4)</formula>
    </cfRule>
    <cfRule type="expression" dxfId="113" priority="2370266">
      <formula>$L971&lt;0</formula>
    </cfRule>
    <cfRule type="expression" dxfId="112" priority="2370267">
      <formula>$L971=0</formula>
    </cfRule>
    <cfRule type="expression" dxfId="111" priority="2370268">
      <formula>$L8:$L$970&gt;=4</formula>
    </cfRule>
  </conditionalFormatting>
  <conditionalFormatting sqref="L936">
    <cfRule type="expression" dxfId="110" priority="2370269">
      <formula>AND($L936&gt;0,$L936&lt;4)</formula>
    </cfRule>
    <cfRule type="expression" dxfId="109" priority="2370270">
      <formula>$L936&lt;0</formula>
    </cfRule>
    <cfRule type="expression" dxfId="108" priority="2370271">
      <formula>$L936=0</formula>
    </cfRule>
    <cfRule type="expression" dxfId="107" priority="2370272">
      <formula>$L8:$L$935&gt;=4</formula>
    </cfRule>
  </conditionalFormatting>
  <conditionalFormatting sqref="L941">
    <cfRule type="expression" dxfId="106" priority="2370273">
      <formula>AND($L941&gt;0,$L941&lt;4)</formula>
    </cfRule>
    <cfRule type="expression" dxfId="105" priority="2370274">
      <formula>$L941&lt;0</formula>
    </cfRule>
    <cfRule type="expression" dxfId="104" priority="2370275">
      <formula>$L941=0</formula>
    </cfRule>
    <cfRule type="expression" dxfId="103" priority="2370276">
      <formula>$L8:$L$940&gt;=4</formula>
    </cfRule>
  </conditionalFormatting>
  <conditionalFormatting sqref="L950">
    <cfRule type="expression" dxfId="102" priority="2370277">
      <formula>AND($L950&gt;0,$L950&lt;4)</formula>
    </cfRule>
    <cfRule type="expression" dxfId="101" priority="2370278">
      <formula>$L950&lt;0</formula>
    </cfRule>
    <cfRule type="expression" dxfId="100" priority="2370279">
      <formula>$L950=0</formula>
    </cfRule>
    <cfRule type="expression" dxfId="99" priority="2370280">
      <formula>$L8:$L$949&gt;=4</formula>
    </cfRule>
  </conditionalFormatting>
  <conditionalFormatting sqref="L955">
    <cfRule type="expression" dxfId="98" priority="2370281">
      <formula>AND($L955&gt;0,$L955&lt;4)</formula>
    </cfRule>
    <cfRule type="expression" dxfId="97" priority="2370282">
      <formula>$L955&lt;0</formula>
    </cfRule>
    <cfRule type="expression" dxfId="96" priority="2370283">
      <formula>$L955=0</formula>
    </cfRule>
    <cfRule type="expression" dxfId="95" priority="2370284">
      <formula>$L8:$L$954&gt;=4</formula>
    </cfRule>
  </conditionalFormatting>
  <conditionalFormatting sqref="L1092">
    <cfRule type="expression" dxfId="94" priority="2370285">
      <formula>AND($L1092&gt;0,$L1092&lt;4)</formula>
    </cfRule>
    <cfRule type="expression" dxfId="93" priority="2370286">
      <formula>$L1092&lt;0</formula>
    </cfRule>
    <cfRule type="expression" dxfId="92" priority="2370287">
      <formula>$L1092=0</formula>
    </cfRule>
    <cfRule type="expression" dxfId="91" priority="2370288">
      <formula>$L8:$L$1091&gt;=4</formula>
    </cfRule>
  </conditionalFormatting>
  <conditionalFormatting sqref="L1098">
    <cfRule type="expression" dxfId="90" priority="2370289">
      <formula>AND($L1098&gt;0,$L1098&lt;4)</formula>
    </cfRule>
    <cfRule type="expression" dxfId="89" priority="2370290">
      <formula>$L1098&lt;0</formula>
    </cfRule>
    <cfRule type="expression" dxfId="88" priority="2370291">
      <formula>$L1098=0</formula>
    </cfRule>
    <cfRule type="expression" dxfId="87" priority="2370292">
      <formula>$L8:$L$1097&gt;=4</formula>
    </cfRule>
  </conditionalFormatting>
  <conditionalFormatting sqref="L1132">
    <cfRule type="expression" dxfId="86" priority="2370293">
      <formula>AND($L1132&gt;0,$L1132&lt;4)</formula>
    </cfRule>
    <cfRule type="expression" dxfId="85" priority="2370294">
      <formula>$L1132&lt;0</formula>
    </cfRule>
    <cfRule type="expression" dxfId="84" priority="2370295">
      <formula>$L1132=0</formula>
    </cfRule>
    <cfRule type="expression" dxfId="83" priority="2370296">
      <formula>$L8:$L$1131&gt;=4</formula>
    </cfRule>
  </conditionalFormatting>
  <conditionalFormatting sqref="L1143">
    <cfRule type="expression" dxfId="82" priority="2370297">
      <formula>AND($L1143&gt;0,$L1143&lt;4)</formula>
    </cfRule>
    <cfRule type="expression" dxfId="81" priority="2370298">
      <formula>$L1143&lt;0</formula>
    </cfRule>
    <cfRule type="expression" dxfId="80" priority="2370299">
      <formula>$L1143=0</formula>
    </cfRule>
    <cfRule type="expression" dxfId="79" priority="2370300">
      <formula>$L8:$L$1142&gt;=4</formula>
    </cfRule>
  </conditionalFormatting>
  <conditionalFormatting sqref="L1153">
    <cfRule type="expression" dxfId="78" priority="2370301">
      <formula>AND($L1153&gt;0,$L1153&lt;4)</formula>
    </cfRule>
    <cfRule type="expression" dxfId="77" priority="2370302">
      <formula>$L1153&lt;0</formula>
    </cfRule>
    <cfRule type="expression" dxfId="76" priority="2370303">
      <formula>$L1153=0</formula>
    </cfRule>
    <cfRule type="expression" dxfId="75" priority="2370304">
      <formula>$L8:$L$1151&gt;=4</formula>
    </cfRule>
  </conditionalFormatting>
  <conditionalFormatting sqref="L1181">
    <cfRule type="expression" dxfId="74" priority="2370305">
      <formula>AND($L1181&gt;0,$L1181&lt;4)</formula>
    </cfRule>
    <cfRule type="expression" dxfId="73" priority="2370306">
      <formula>$L1181&lt;0</formula>
    </cfRule>
    <cfRule type="expression" dxfId="72" priority="2370307">
      <formula>$L1181=0</formula>
    </cfRule>
    <cfRule type="expression" dxfId="71" priority="2370308">
      <formula>$L8:$L$1180&gt;=4</formula>
    </cfRule>
  </conditionalFormatting>
  <conditionalFormatting sqref="L1191">
    <cfRule type="expression" dxfId="70" priority="2370309">
      <formula>AND($L1191&gt;0,$L1191&lt;4)</formula>
    </cfRule>
    <cfRule type="expression" dxfId="69" priority="2370310">
      <formula>$L1191&lt;0</formula>
    </cfRule>
    <cfRule type="expression" dxfId="68" priority="2370311">
      <formula>$L1191=0</formula>
    </cfRule>
    <cfRule type="expression" dxfId="67" priority="2370312">
      <formula>$L8:$L$1190&gt;=4</formula>
    </cfRule>
  </conditionalFormatting>
  <conditionalFormatting sqref="L1204">
    <cfRule type="expression" dxfId="66" priority="2370313">
      <formula>AND($L1204&gt;0,$L1204&lt;4)</formula>
    </cfRule>
    <cfRule type="expression" dxfId="65" priority="2370314">
      <formula>$L1204&lt;0</formula>
    </cfRule>
    <cfRule type="expression" dxfId="64" priority="2370315">
      <formula>$L1204=0</formula>
    </cfRule>
    <cfRule type="expression" dxfId="63" priority="2370316">
      <formula>$L8:$L$1203&gt;=4</formula>
    </cfRule>
  </conditionalFormatting>
  <conditionalFormatting sqref="L1223">
    <cfRule type="expression" dxfId="62" priority="2370317">
      <formula>AND($L1223&gt;0,$L1223&lt;4)</formula>
    </cfRule>
    <cfRule type="expression" dxfId="61" priority="2370318">
      <formula>$L1223&lt;0</formula>
    </cfRule>
    <cfRule type="expression" dxfId="60" priority="2370319">
      <formula>$L1223=0</formula>
    </cfRule>
    <cfRule type="expression" dxfId="59" priority="2370320">
      <formula>$L8:$L$1222&gt;=4</formula>
    </cfRule>
  </conditionalFormatting>
  <conditionalFormatting sqref="L897:L898">
    <cfRule type="expression" dxfId="58" priority="2370321">
      <formula>AND($L897&gt;0,$L897&lt;4)</formula>
    </cfRule>
    <cfRule type="expression" dxfId="57" priority="2370322">
      <formula>$L897&lt;0</formula>
    </cfRule>
    <cfRule type="expression" dxfId="56" priority="2370323">
      <formula>$L897=0</formula>
    </cfRule>
    <cfRule type="expression" dxfId="55" priority="2370324">
      <formula>$L9:$L$895&gt;=4</formula>
    </cfRule>
  </conditionalFormatting>
  <conditionalFormatting sqref="L905:L907">
    <cfRule type="expression" dxfId="54" priority="2370325">
      <formula>AND($L905&gt;0,$L905&lt;4)</formula>
    </cfRule>
    <cfRule type="expression" dxfId="53" priority="2370326">
      <formula>$L905&lt;0</formula>
    </cfRule>
    <cfRule type="expression" dxfId="52" priority="2370327">
      <formula>$L905=0</formula>
    </cfRule>
    <cfRule type="expression" dxfId="51" priority="2370328">
      <formula>$L8:$L$904&gt;=4</formula>
    </cfRule>
  </conditionalFormatting>
  <conditionalFormatting sqref="L908:L909">
    <cfRule type="expression" dxfId="50" priority="2370329">
      <formula>AND($L908&gt;0,$L908&lt;4)</formula>
    </cfRule>
    <cfRule type="expression" dxfId="49" priority="2370330">
      <formula>$L908&lt;0</formula>
    </cfRule>
    <cfRule type="expression" dxfId="48" priority="2370331">
      <formula>$L908=0</formula>
    </cfRule>
    <cfRule type="expression" dxfId="47" priority="2370332">
      <formula>$L9:$L$904&gt;=4</formula>
    </cfRule>
  </conditionalFormatting>
  <conditionalFormatting sqref="L1081:L1082">
    <cfRule type="expression" dxfId="46" priority="2370333">
      <formula>AND($L1081&gt;0,$L1081&lt;4)</formula>
    </cfRule>
    <cfRule type="expression" dxfId="45" priority="2370334">
      <formula>$L1081&lt;0</formula>
    </cfRule>
    <cfRule type="expression" dxfId="44" priority="2370335">
      <formula>$L1081=0</formula>
    </cfRule>
    <cfRule type="expression" dxfId="43" priority="2370336">
      <formula>$L8:$L$1080&gt;=4</formula>
    </cfRule>
  </conditionalFormatting>
  <conditionalFormatting sqref="L1206:L1207">
    <cfRule type="expression" dxfId="42" priority="2370337">
      <formula>AND($L1206&gt;0,$L1206&lt;4)</formula>
    </cfRule>
    <cfRule type="expression" dxfId="41" priority="2370338">
      <formula>$L1206&lt;0</formula>
    </cfRule>
    <cfRule type="expression" dxfId="40" priority="2370339">
      <formula>$L1206=0</formula>
    </cfRule>
    <cfRule type="expression" dxfId="39" priority="2370340">
      <formula>$L8:$L$1205&gt;=4</formula>
    </cfRule>
  </conditionalFormatting>
  <conditionalFormatting sqref="L1210:L1211">
    <cfRule type="expression" dxfId="38" priority="2370341">
      <formula>AND($L1210&gt;0,$L1210&lt;4)</formula>
    </cfRule>
    <cfRule type="expression" dxfId="37" priority="2370342">
      <formula>$L1210&lt;0</formula>
    </cfRule>
    <cfRule type="expression" dxfId="36" priority="2370343">
      <formula>$L1210=0</formula>
    </cfRule>
    <cfRule type="expression" dxfId="35" priority="2370344">
      <formula>$L8:$L$1209&gt;=4</formula>
    </cfRule>
  </conditionalFormatting>
  <conditionalFormatting sqref="L1215:L1216">
    <cfRule type="expression" dxfId="34" priority="2370345">
      <formula>AND($L1215&gt;0,$L1215&lt;4)</formula>
    </cfRule>
    <cfRule type="expression" dxfId="33" priority="2370346">
      <formula>$L1215&lt;0</formula>
    </cfRule>
    <cfRule type="expression" dxfId="32" priority="2370347">
      <formula>$L1215=0</formula>
    </cfRule>
    <cfRule type="expression" dxfId="31" priority="2370348">
      <formula>$L8:$L$1214&gt;=4</formula>
    </cfRule>
  </conditionalFormatting>
  <conditionalFormatting sqref="C408:K409 M408:Q409">
    <cfRule type="expression" dxfId="30" priority="2370381">
      <formula>AND($L408&gt;0,$L408&lt;4)</formula>
    </cfRule>
    <cfRule type="expression" dxfId="29" priority="2370382">
      <formula>$L408&lt;0</formula>
    </cfRule>
    <cfRule type="expression" dxfId="28" priority="2370383">
      <formula>$L408=0</formula>
    </cfRule>
    <cfRule type="expression" dxfId="27" priority="2370384">
      <formula>$L$76:$L1233&gt;=4</formula>
    </cfRule>
  </conditionalFormatting>
  <conditionalFormatting sqref="C411:K412 M411:Q412">
    <cfRule type="expression" dxfId="26" priority="2370389">
      <formula>AND($L411&gt;0,$L411&lt;4)</formula>
    </cfRule>
    <cfRule type="expression" dxfId="25" priority="2370390">
      <formula>$L411&lt;0</formula>
    </cfRule>
    <cfRule type="expression" dxfId="24" priority="2370391">
      <formula>$L411=0</formula>
    </cfRule>
    <cfRule type="expression" dxfId="23" priority="2370392">
      <formula>$L$76:$L1233&gt;=4</formula>
    </cfRule>
  </conditionalFormatting>
  <conditionalFormatting sqref="N1236:N1239 O1221:Q1221 M1221 C1221:K1221">
    <cfRule type="expression" dxfId="22" priority="2370453">
      <formula>AND($L1221&gt;0,$L1221&lt;4)</formula>
    </cfRule>
    <cfRule type="expression" dxfId="21" priority="2370454">
      <formula>$L1221&lt;0</formula>
    </cfRule>
    <cfRule type="expression" dxfId="20" priority="2370455">
      <formula>$L1221=0</formula>
    </cfRule>
    <cfRule type="expression" dxfId="19" priority="2370456">
      <formula>$L271:$L$956&gt;=4</formula>
    </cfRule>
  </conditionalFormatting>
  <conditionalFormatting sqref="L1217">
    <cfRule type="expression" dxfId="18" priority="2370545">
      <formula>AND($L1217&gt;0,$L1217&lt;4)</formula>
    </cfRule>
    <cfRule type="expression" dxfId="17" priority="2370546">
      <formula>$L1217&lt;0</formula>
    </cfRule>
    <cfRule type="expression" dxfId="16" priority="2370547">
      <formula>$L1217=0</formula>
    </cfRule>
    <cfRule type="expression" dxfId="15" priority="2370548">
      <formula>$L9:$L$1214&gt;=4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2024-10-30T21:29:32Z</dcterms:modified>
  <cp:category/>
  <cp:contentStatus/>
</cp:coreProperties>
</file>