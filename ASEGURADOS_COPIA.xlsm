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148EE267-C1E3-46CE-BEA1-FA539581C0AE}" xr6:coauthVersionLast="47" xr6:coauthVersionMax="47" xr10:uidLastSave="{00000000-0000-0000-0000-000000000000}"/>
  <bookViews>
    <workbookView xWindow="-120" yWindow="-120" windowWidth="15600" windowHeight="1116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<sst xmlns="http://schemas.openxmlformats.org/spreadsheetml/2006/main" count="85" uniqueCount="68">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</sst>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96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9" totalsRowDxfId="18"/>
    <tableColumn id="13" xr3:uid="{00000000-0010-0000-0000-00000D000000}" name="Compañia" dataDxfId="17"/>
    <tableColumn id="3" xr3:uid="{CDB0D3F4-B5A2-4677-9CC2-1F8DB06610E2}" name="Patente"/>
    <tableColumn id="6" xr3:uid="{891E73FD-6EA3-48A0-AFCD-52DA273135EC}" name="Cuota" dataDxfId="16" totalsRowDxfId="15"/>
    <tableColumn id="14" xr3:uid="{00000000-0010-0000-0000-00000E000000}" name="Cobertura " dataDxfId="14" totalsRowDxfId="13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12" totalsRowDxfId="11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10" totalsRowDxfId="9">
      <calculatedColumnFormula>IF(L8&lt;0,"Vencido",IF(L8=0,"Vence hoy",IF(L8&lt;4,"Por vencer","Al dia")))</calculatedColumnFormula>
    </tableColumn>
    <tableColumn id="19" xr3:uid="{00000000-0010-0000-0000-000013000000}" name="Primer Pago" dataDxfId="8" totalsRowDxfId="7" dataCellStyle="Moneda"/>
    <tableColumn id="20" xr3:uid="{00000000-0010-0000-0000-000014000000}" name="Precio Cuo" totalsRowDxfId="6" dataCellStyle="Moneda"/>
    <tableColumn id="21" xr3:uid="{00000000-0010-0000-0000-000015000000}" name="Ganancia" dataDxfId="5" totalsRowDxfId="4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zoomScale="90" zoomScaleNormal="90" workbookViewId="0">
      <selection activeCell="K20" sqref="K20"/>
    </sheetView>
  </sheetViews>
  <sheetFormatPr baseColWidth="10" defaultColWidth="11.42578125" defaultRowHeight="15" x14ac:dyDescent="0.25"/>
  <cols>
    <col min="1" max="1" width="33.28515625" customWidth="1"/>
    <col min="2" max="2" width="10.28515625" customWidth="1"/>
    <col min="3" max="3" width="17.5703125" customWidth="1"/>
    <col min="4" max="4" width="21.28515625" customWidth="1"/>
    <col min="5" max="5" width="19.140625" style="10" customWidth="1"/>
    <col min="6" max="6" width="14.28515625" customWidth="1"/>
    <col min="7" max="7" width="15" customWidth="1"/>
    <col min="8" max="8" width="13.28515625" style="14" customWidth="1"/>
    <col min="9" max="9" width="15" customWidth="1"/>
    <col min="10" max="10" width="16.140625" customWidth="1"/>
    <col min="11" max="11" width="20.7109375" customWidth="1"/>
    <col min="12" max="12" width="16" style="22" customWidth="1"/>
    <col min="13" max="13" width="14.28515625" customWidth="1"/>
    <col min="14" max="14" width="14.5703125" customWidth="1"/>
    <col min="15" max="15" width="13.5703125" style="1" customWidth="1"/>
    <col min="16" max="16" width="17.7109375" customWidth="1"/>
  </cols>
  <sheetData>
    <row r="1" spans="1:17" x14ac:dyDescent="0.2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25">
      <c r="A2" t="s">
        <v>0</v>
      </c>
    </row>
    <row r="3" spans="1:17" x14ac:dyDescent="0.2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2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3">
      <c r="A5" s="6" t="s">
        <v>7</v>
      </c>
      <c r="K5">
        <f ca="1">COUNTIF(CLIENTES[Dias a Vencer],"&lt;0")</f>
        <v>5</v>
      </c>
      <c r="L5" s="22">
        <f ca="1">COUNTIF(CLIENTES[Dias a Vencer],"=0")</f>
        <v>3</v>
      </c>
      <c r="M5">
        <f ca="1">COUNTIFS(CLIENTES[Dias a Vencer],"&gt;0",CLIENTES[Dias a Vencer],"&lt;4")</f>
        <v>2</v>
      </c>
      <c r="N5">
        <f ca="1">COUNTIF(CLIENTES[Dias a Vencer],"&gt;3")</f>
        <v>0</v>
      </c>
    </row>
    <row r="6" spans="1:17" ht="27" customHeight="1" thickBot="1" x14ac:dyDescent="0.3">
      <c r="A6" s="7" t="s">
        <v>8</v>
      </c>
      <c r="D6" s="19"/>
      <c r="E6" s="20"/>
      <c r="I6" s="8" t="s">
        <v>9</v>
      </c>
      <c r="J6" s="9">
        <f ca="1">TODAY()</f>
        <v>45593</v>
      </c>
      <c r="K6" s="12"/>
    </row>
    <row r="7" spans="1:17" x14ac:dyDescent="0.2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2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45596</v>
      </c>
      <c r="K8" s="1">
        <v>45596</v>
      </c>
      <c r="L8" s="22">
        <f ca="1">CLIENTES[[#This Row],[Fecha Vencimiento]]-$J$6</f>
        <v>3</v>
      </c>
      <c r="M8" s="1"/>
      <c r="N8" s="1" t="str">
        <f t="shared" ref="N8:N17" ca="1" si="0">IF(L8&lt;0,"Vencido",IF(L8=0,"Vence hoy",IF(L8&lt;4,"Por vencer","Al dia")))</f>
        <v>Por vencer</v>
      </c>
      <c r="O8" s="18">
        <v>45528</v>
      </c>
      <c r="P8" s="2"/>
      <c r="Q8" s="2">
        <f t="shared" ref="Q8:Q17" si="1">P8-O8</f>
        <v>-45528</v>
      </c>
    </row>
    <row r="9" spans="1:17" x14ac:dyDescent="0.2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45596</v>
      </c>
      <c r="K9" s="1">
        <v>45596</v>
      </c>
      <c r="L9" s="22">
        <f ca="1">CLIENTES[[#This Row],[Fecha Vencimiento]]-$J$6</f>
        <v>3</v>
      </c>
      <c r="N9" s="1" t="str">
        <f t="shared" ca="1" si="0"/>
        <v>Por vencer</v>
      </c>
      <c r="O9" s="18"/>
      <c r="P9" s="2"/>
      <c r="Q9" s="2">
        <f t="shared" si="1"/>
        <v>0</v>
      </c>
    </row>
    <row r="10" spans="1:17" x14ac:dyDescent="0.2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45588</v>
      </c>
      <c r="L10" s="22">
        <f ca="1">CLIENTES[[#This Row],[Fecha Vencimiento]]-$J$6</f>
        <v>-5</v>
      </c>
      <c r="N10" s="1" t="str">
        <f t="shared" ca="1" si="0"/>
        <v>Vencido</v>
      </c>
      <c r="O10" s="18">
        <v>45570</v>
      </c>
      <c r="P10" s="2"/>
      <c r="Q10" s="2">
        <f t="shared" si="1"/>
        <v>-45570</v>
      </c>
    </row>
    <row r="11" spans="1:17" x14ac:dyDescent="0.2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45588</v>
      </c>
      <c r="L11" s="22">
        <f ca="1">CLIENTES[[#This Row],[Fecha Vencimiento]]-$J$6</f>
        <v>-5</v>
      </c>
      <c r="M11" s="1"/>
      <c r="N11" s="1" t="str">
        <f t="shared" ca="1" si="0"/>
        <v>Vencido</v>
      </c>
      <c r="O11" s="18"/>
      <c r="P11" s="2"/>
      <c r="Q11" s="2">
        <f t="shared" si="1"/>
        <v>0</v>
      </c>
    </row>
    <row r="12" spans="1:17" x14ac:dyDescent="0.2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45593</v>
      </c>
      <c r="L12" s="22">
        <f ca="1">CLIENTES[[#This Row],[Fecha Vencimiento]]-$J$6</f>
        <v>0</v>
      </c>
      <c r="N12" s="1" t="str">
        <f t="shared" ca="1" si="0"/>
        <v>Vence hoy</v>
      </c>
      <c r="O12" s="18"/>
      <c r="P12" s="2"/>
      <c r="Q12" s="2">
        <f t="shared" si="1"/>
        <v>0</v>
      </c>
    </row>
    <row r="13" spans="1:17" x14ac:dyDescent="0.2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45591</v>
      </c>
      <c r="L13" s="22">
        <f ca="1">CLIENTES[[#This Row],[Fecha Vencimiento]]-$J$6</f>
        <v>-2</v>
      </c>
      <c r="N13" s="1" t="str">
        <f t="shared" ca="1" si="0"/>
        <v>Vencido</v>
      </c>
      <c r="O13" s="18"/>
      <c r="P13" s="2"/>
      <c r="Q13" s="2">
        <f t="shared" si="1"/>
        <v>0</v>
      </c>
    </row>
    <row r="14" spans="1:17" x14ac:dyDescent="0.2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45590</v>
      </c>
      <c r="L14" s="22">
        <f ca="1">CLIENTES[[#This Row],[Fecha Vencimiento]]-$J$6</f>
        <v>-3</v>
      </c>
      <c r="N14" s="1" t="str">
        <f t="shared" ca="1" si="0"/>
        <v>Vencido</v>
      </c>
      <c r="O14" s="18"/>
      <c r="P14" s="2"/>
      <c r="Q14" s="2">
        <f t="shared" si="1"/>
        <v>0</v>
      </c>
    </row>
    <row r="15" spans="1:17" x14ac:dyDescent="0.2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45593</v>
      </c>
      <c r="L15" s="22">
        <f ca="1">CLIENTES[[#This Row],[Fecha Vencimiento]]-$J$6</f>
        <v>0</v>
      </c>
      <c r="N15" s="1" t="str">
        <f t="shared" ca="1" si="0"/>
        <v>Vence hoy</v>
      </c>
      <c r="O15" s="18">
        <v>45532</v>
      </c>
      <c r="P15" s="2"/>
      <c r="Q15" s="2">
        <f t="shared" si="1"/>
        <v>-45532</v>
      </c>
    </row>
    <row r="16" spans="1:17" x14ac:dyDescent="0.2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45593</v>
      </c>
      <c r="L16" s="22">
        <f ca="1">CLIENTES[[#This Row],[Fecha Vencimiento]]-$J$6</f>
        <v>0</v>
      </c>
      <c r="N16" s="1" t="str">
        <f t="shared" ca="1" si="0"/>
        <v>Vence hoy</v>
      </c>
      <c r="O16" s="18"/>
      <c r="P16" s="2"/>
      <c r="Q16" s="2">
        <f t="shared" si="1"/>
        <v>0</v>
      </c>
    </row>
    <row r="17" spans="3:17" x14ac:dyDescent="0.2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45592</v>
      </c>
      <c r="L17" s="22">
        <f ca="1">CLIENTES[[#This Row],[Fecha Vencimiento]]-$J$6</f>
        <v>-1</v>
      </c>
      <c r="N17" s="1" t="str">
        <f t="shared" ca="1" si="0"/>
        <v>Vencido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95" priority="776733">
      <formula>AND($L16&gt;0,$L16&lt;4)</formula>
    </cfRule>
    <cfRule type="expression" dxfId="94" priority="776734">
      <formula>$L16&lt;0</formula>
    </cfRule>
    <cfRule type="expression" dxfId="93" priority="776735">
      <formula>$L16=0</formula>
    </cfRule>
    <cfRule type="expression" dxfId="92" priority="776736">
      <formula>#REF!&gt;=4</formula>
    </cfRule>
  </conditionalFormatting>
  <conditionalFormatting sqref="M9:Q9 L9:L11 C8:D17 E9:E17 F9:K9 E8:Q8">
    <cfRule type="expression" dxfId="91" priority="781549">
      <formula>AND($L8&gt;0,$L8&lt;4)</formula>
    </cfRule>
    <cfRule type="expression" dxfId="90" priority="781550">
      <formula>$L8&lt;0</formula>
    </cfRule>
    <cfRule type="expression" dxfId="89" priority="781551">
      <formula>$L8=0</formula>
    </cfRule>
    <cfRule type="expression" dxfId="88" priority="781552">
      <formula>$L7:$L$8&gt;=4</formula>
    </cfRule>
  </conditionalFormatting>
  <conditionalFormatting sqref="L14:L17">
    <cfRule type="expression" dxfId="87" priority="1851125">
      <formula>AND($L14&gt;0,$L14&lt;4)</formula>
    </cfRule>
    <cfRule type="expression" dxfId="86" priority="1851126">
      <formula>$L14&lt;0</formula>
    </cfRule>
    <cfRule type="expression" dxfId="85" priority="1851127">
      <formula>$L14=0</formula>
    </cfRule>
    <cfRule type="expression" dxfId="84" priority="1851128">
      <formula>$L$8:$L12&gt;=4</formula>
    </cfRule>
  </conditionalFormatting>
  <conditionalFormatting sqref="M10:Q11 F10:H11 J10:J11">
    <cfRule type="expression" dxfId="83" priority="2096029">
      <formula>AND($L10&gt;0,$L10&lt;4)</formula>
    </cfRule>
    <cfRule type="expression" dxfId="82" priority="2096030">
      <formula>$L10&lt;0</formula>
    </cfRule>
    <cfRule type="expression" dxfId="81" priority="2096031">
      <formula>$L10=0</formula>
    </cfRule>
    <cfRule type="expression" dxfId="80" priority="2096032">
      <formula>$L8:$L$10&gt;=4</formula>
    </cfRule>
  </conditionalFormatting>
  <conditionalFormatting sqref="L12:L13">
    <cfRule type="expression" dxfId="79" priority="2287445">
      <formula>AND($L12&gt;0,$L12&lt;4)</formula>
    </cfRule>
    <cfRule type="expression" dxfId="78" priority="2287446">
      <formula>$L12&lt;0</formula>
    </cfRule>
    <cfRule type="expression" dxfId="77" priority="2287447">
      <formula>$L12=0</formula>
    </cfRule>
    <cfRule type="expression" dxfId="76" priority="2287448">
      <formula>$L$8:$L11&gt;=4</formula>
    </cfRule>
  </conditionalFormatting>
  <conditionalFormatting sqref="F12:H12 M12:Q12 J12">
    <cfRule type="expression" dxfId="75" priority="2287461">
      <formula>AND($L12&gt;0,$L12&lt;4)</formula>
    </cfRule>
    <cfRule type="expression" dxfId="74" priority="2287462">
      <formula>$L12&lt;0</formula>
    </cfRule>
    <cfRule type="expression" dxfId="73" priority="2287463">
      <formula>$L12=0</formula>
    </cfRule>
    <cfRule type="expression" dxfId="72" priority="2287464">
      <formula>$L10:$L$11&gt;=4</formula>
    </cfRule>
  </conditionalFormatting>
  <conditionalFormatting sqref="F14:H14 M14:Q14 J14">
    <cfRule type="expression" dxfId="71" priority="2287473">
      <formula>AND($L14&gt;0,$L14&lt;4)</formula>
    </cfRule>
    <cfRule type="expression" dxfId="70" priority="2287474">
      <formula>$L14&lt;0</formula>
    </cfRule>
    <cfRule type="expression" dxfId="69" priority="2287475">
      <formula>$L14=0</formula>
    </cfRule>
    <cfRule type="expression" dxfId="68" priority="2287476">
      <formula>#REF!&gt;=4</formula>
    </cfRule>
  </conditionalFormatting>
  <conditionalFormatting sqref="M15:Q15 F15:H15 J15">
    <cfRule type="expression" dxfId="67" priority="2287521">
      <formula>AND($L15&gt;0,$L15&lt;4)</formula>
    </cfRule>
    <cfRule type="expression" dxfId="66" priority="2287522">
      <formula>$L15&lt;0</formula>
    </cfRule>
    <cfRule type="expression" dxfId="65" priority="2287523">
      <formula>$L15=0</formula>
    </cfRule>
    <cfRule type="expression" dxfId="64" priority="2287524">
      <formula>$L10:$L$11&gt;=4</formula>
    </cfRule>
  </conditionalFormatting>
  <conditionalFormatting sqref="F13:H13 M13:Q13 J13">
    <cfRule type="expression" dxfId="63" priority="2287533">
      <formula>AND($L13&gt;0,$L13&lt;4)</formula>
    </cfRule>
    <cfRule type="expression" dxfId="62" priority="2287534">
      <formula>$L13&lt;0</formula>
    </cfRule>
    <cfRule type="expression" dxfId="61" priority="2287535">
      <formula>$L13=0</formula>
    </cfRule>
    <cfRule type="expression" dxfId="60" priority="2287536">
      <formula>#REF!&gt;=4</formula>
    </cfRule>
  </conditionalFormatting>
  <conditionalFormatting sqref="K10:K15">
    <cfRule type="expression" dxfId="59" priority="45">
      <formula>AND($L10&gt;0,$L10&lt;4)</formula>
    </cfRule>
    <cfRule type="expression" dxfId="58" priority="46">
      <formula>$L10&lt;0</formula>
    </cfRule>
    <cfRule type="expression" dxfId="57" priority="47">
      <formula>$L10=0</formula>
    </cfRule>
    <cfRule type="expression" dxfId="56" priority="48">
      <formula>$L$8:$L9&gt;=4</formula>
    </cfRule>
  </conditionalFormatting>
  <conditionalFormatting sqref="K17">
    <cfRule type="expression" dxfId="55" priority="33">
      <formula>AND($L17&gt;0,$L17&lt;4)</formula>
    </cfRule>
    <cfRule type="expression" dxfId="54" priority="34">
      <formula>$L17&lt;0</formula>
    </cfRule>
    <cfRule type="expression" dxfId="53" priority="35">
      <formula>$L17=0</formula>
    </cfRule>
    <cfRule type="expression" dxfId="52" priority="36">
      <formula>$L$8:$L16&gt;=4</formula>
    </cfRule>
  </conditionalFormatting>
  <conditionalFormatting sqref="K16">
    <cfRule type="expression" dxfId="51" priority="29">
      <formula>AND($L16&gt;0,$L16&lt;4)</formula>
    </cfRule>
    <cfRule type="expression" dxfId="50" priority="30">
      <formula>$L16&lt;0</formula>
    </cfRule>
    <cfRule type="expression" dxfId="49" priority="31">
      <formula>$L16=0</formula>
    </cfRule>
    <cfRule type="expression" dxfId="48" priority="32">
      <formula>$L$8:$L15&gt;=4</formula>
    </cfRule>
  </conditionalFormatting>
  <conditionalFormatting sqref="I15">
    <cfRule type="expression" dxfId="47" priority="25">
      <formula>AND($L15&gt;0,$L15&lt;4)</formula>
    </cfRule>
    <cfRule type="expression" dxfId="46" priority="26">
      <formula>$L15&lt;0</formula>
    </cfRule>
    <cfRule type="expression" dxfId="45" priority="27">
      <formula>$L15=0</formula>
    </cfRule>
    <cfRule type="expression" dxfId="44" priority="28">
      <formula>#REF!&gt;=4</formula>
    </cfRule>
  </conditionalFormatting>
  <conditionalFormatting sqref="I14">
    <cfRule type="expression" dxfId="43" priority="21">
      <formula>AND($L14&gt;0,$L14&lt;4)</formula>
    </cfRule>
    <cfRule type="expression" dxfId="42" priority="22">
      <formula>$L14&lt;0</formula>
    </cfRule>
    <cfRule type="expression" dxfId="41" priority="23">
      <formula>$L14=0</formula>
    </cfRule>
    <cfRule type="expression" dxfId="40" priority="24">
      <formula>#REF!&gt;=4</formula>
    </cfRule>
  </conditionalFormatting>
  <conditionalFormatting sqref="I13">
    <cfRule type="expression" dxfId="39" priority="17">
      <formula>AND($L13&gt;0,$L13&lt;4)</formula>
    </cfRule>
    <cfRule type="expression" dxfId="38" priority="18">
      <formula>$L13&lt;0</formula>
    </cfRule>
    <cfRule type="expression" dxfId="37" priority="19">
      <formula>$L13=0</formula>
    </cfRule>
    <cfRule type="expression" dxfId="36" priority="20">
      <formula>#REF!&gt;=4</formula>
    </cfRule>
  </conditionalFormatting>
  <conditionalFormatting sqref="I12">
    <cfRule type="expression" dxfId="35" priority="13">
      <formula>AND($L12&gt;0,$L12&lt;4)</formula>
    </cfRule>
    <cfRule type="expression" dxfId="34" priority="14">
      <formula>$L12&lt;0</formula>
    </cfRule>
    <cfRule type="expression" dxfId="33" priority="15">
      <formula>$L12=0</formula>
    </cfRule>
    <cfRule type="expression" dxfId="32" priority="16">
      <formula>#REF!&gt;=4</formula>
    </cfRule>
  </conditionalFormatting>
  <conditionalFormatting sqref="I11">
    <cfRule type="expression" dxfId="31" priority="9">
      <formula>AND($L11&gt;0,$L11&lt;4)</formula>
    </cfRule>
    <cfRule type="expression" dxfId="30" priority="10">
      <formula>$L11&lt;0</formula>
    </cfRule>
    <cfRule type="expression" dxfId="29" priority="11">
      <formula>$L11=0</formula>
    </cfRule>
    <cfRule type="expression" dxfId="28" priority="12">
      <formula>#REF!&gt;=4</formula>
    </cfRule>
  </conditionalFormatting>
  <conditionalFormatting sqref="I10">
    <cfRule type="expression" dxfId="27" priority="5">
      <formula>AND($L10&gt;0,$L10&lt;4)</formula>
    </cfRule>
    <cfRule type="expression" dxfId="26" priority="6">
      <formula>$L10&lt;0</formula>
    </cfRule>
    <cfRule type="expression" dxfId="25" priority="7">
      <formula>$L10=0</formula>
    </cfRule>
    <cfRule type="expression" dxfId="24" priority="8">
      <formula>#REF!&gt;=4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2024-10-28T21:06:59Z</dcterms:modified>
  <cp:category/>
  <cp:contentStatus/>
</cp:coreProperties>
</file>