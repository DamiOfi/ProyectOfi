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amian\Documents\PROYECTOS WEB\Proyecto Ofi\"/>
    </mc:Choice>
  </mc:AlternateContent>
  <xr:revisionPtr revIDLastSave="0" documentId="13_ncr:1_{F4E0E6AE-DF7C-4076-A15E-CF645170FAE6}" xr6:coauthVersionLast="47" xr6:coauthVersionMax="47" xr10:uidLastSave="{00000000-0000-0000-0000-000000000000}"/>
  <bookViews>
    <workbookView xWindow="-110" yWindow="-110" windowWidth="16220" windowHeight="11620" xr2:uid="{00000000-000D-0000-FFFF-FFFF00000000}"/>
  </bookViews>
  <sheets>
    <sheet name="BD" sheetId="1" r:id="rId1"/>
    <sheet name="Hoja1" sheetId="2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0" i="1" l="1"/>
  <c r="Q17" i="1"/>
  <c r="Q15" i="1"/>
  <c r="Q8" i="1"/>
  <c r="Q11" i="1"/>
  <c r="Q12" i="1"/>
  <c r="J6" i="1"/>
  <c r="Q16" i="1"/>
  <c r="Q13" i="1"/>
  <c r="Q14" i="1"/>
  <c r="Q9" i="1"/>
  <c r="M3" i="1"/>
  <c r="L10" i="1" l="1"/>
  <c r="N10" i="1" s="1"/>
  <c r="L9" i="1"/>
  <c r="N9" i="1" s="1"/>
  <c r="L11" i="1"/>
  <c r="N11" i="1" s="1"/>
  <c r="L12" i="1"/>
  <c r="N12" i="1" s="1"/>
  <c r="L13" i="1"/>
  <c r="N13" i="1" s="1"/>
  <c r="L14" i="1"/>
  <c r="N14" i="1" s="1"/>
  <c r="L15" i="1"/>
  <c r="N15" i="1" s="1"/>
  <c r="L16" i="1"/>
  <c r="N16" i="1" s="1"/>
  <c r="L17" i="1"/>
  <c r="N17" i="1" s="1"/>
  <c r="L8" i="1"/>
  <c r="N8" i="1" s="1"/>
  <c r="N5" i="1" l="1"/>
  <c r="L5" i="1"/>
  <c r="K5" i="1"/>
  <c r="M5" i="1"/>
</calcChain>
</file>

<file path=xl/sharedStrings.xml><?xml version="1.0" encoding="utf-8"?>
<sst xmlns="http://schemas.openxmlformats.org/spreadsheetml/2006/main" count="85" uniqueCount="68">
  <si>
    <t>REFERENCIAS</t>
  </si>
  <si>
    <t>NO PAGADO EN QUINCENA</t>
  </si>
  <si>
    <t>VENCIDO</t>
  </si>
  <si>
    <t>VENCIDOS</t>
  </si>
  <si>
    <t>VENCEN HOY</t>
  </si>
  <si>
    <t>DE 1 A 3 DIAS</t>
  </si>
  <si>
    <t>AL DIA (+4 DIAS)</t>
  </si>
  <si>
    <t>DUDAS</t>
  </si>
  <si>
    <t>CON COBERTURA CHEQUEADO</t>
  </si>
  <si>
    <t>FECHA ACTUAL</t>
  </si>
  <si>
    <t>Apellido</t>
  </si>
  <si>
    <t>Nombre</t>
  </si>
  <si>
    <t>Compañia</t>
  </si>
  <si>
    <t>Patente</t>
  </si>
  <si>
    <t>Cuota</t>
  </si>
  <si>
    <t xml:space="preserve">Cobertura </t>
  </si>
  <si>
    <t>Ultimo pago</t>
  </si>
  <si>
    <t>Fecha Vencimiento</t>
  </si>
  <si>
    <t>Dias a Vencer</t>
  </si>
  <si>
    <t>Fecha Emision</t>
  </si>
  <si>
    <t>ALERTAS</t>
  </si>
  <si>
    <t>Primer Pago</t>
  </si>
  <si>
    <t>Precio Cuo</t>
  </si>
  <si>
    <t>Ganancia</t>
  </si>
  <si>
    <t xml:space="preserve">Agrosalta </t>
  </si>
  <si>
    <t>DYO283</t>
  </si>
  <si>
    <t>A</t>
  </si>
  <si>
    <t>GEY623</t>
  </si>
  <si>
    <t>SGK267</t>
  </si>
  <si>
    <t>AGROSALTA</t>
  </si>
  <si>
    <t>GJI852</t>
  </si>
  <si>
    <t>NDR084</t>
  </si>
  <si>
    <t>FXK706</t>
  </si>
  <si>
    <t>XEA374</t>
  </si>
  <si>
    <t>TKB149</t>
  </si>
  <si>
    <t>TYY709</t>
  </si>
  <si>
    <t>ATM</t>
  </si>
  <si>
    <t>OGH975</t>
  </si>
  <si>
    <t>ROBO</t>
  </si>
  <si>
    <t>Telefono</t>
  </si>
  <si>
    <t>RODRIGUEZ 1</t>
  </si>
  <si>
    <t>RODRIGUEZ 2</t>
  </si>
  <si>
    <t>RODRIGUEZ 3</t>
  </si>
  <si>
    <t>RODRIGUEZ 4</t>
  </si>
  <si>
    <t>RODRIGUEZ 5</t>
  </si>
  <si>
    <t>RODRIGUEZ 6</t>
  </si>
  <si>
    <t>RODRIGUEZ 7</t>
  </si>
  <si>
    <t>RODRIGUEZ 8</t>
  </si>
  <si>
    <t>RODRIGUEZ 9</t>
  </si>
  <si>
    <t>RODRIGUEZ 10</t>
  </si>
  <si>
    <t>JONATAN 1</t>
  </si>
  <si>
    <t>JONATAN 2</t>
  </si>
  <si>
    <t>JONATAN 3</t>
  </si>
  <si>
    <t>JONATAN 4</t>
  </si>
  <si>
    <t>JONATAN 5</t>
  </si>
  <si>
    <t>JONATAN 6</t>
  </si>
  <si>
    <t>JONATAN 7</t>
  </si>
  <si>
    <t>JONATAN 8</t>
  </si>
  <si>
    <t>JONATAN 9</t>
  </si>
  <si>
    <t>JONATAN 10</t>
  </si>
  <si>
    <t>PROVIDENCIA</t>
  </si>
  <si>
    <t>Prvidencia</t>
  </si>
  <si>
    <t>FEDERACION</t>
  </si>
  <si>
    <t>Federacion</t>
  </si>
  <si>
    <t>atm</t>
  </si>
  <si>
    <t>EQUIDAD</t>
  </si>
  <si>
    <t>Equidad</t>
  </si>
  <si>
    <t>+541123901151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</si>
</sst>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&quot;$&quot;\ * #,##0.00_ ;_ &quot;$&quot;\ * \-#,##0.00_ ;_ &quot;$&quot;\ * &quot;-&quot;??_ ;_ @_ 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5">
    <xf numFmtId="0" fontId="0" fillId="0" borderId="0" xfId="0"/>
    <xf numFmtId="14" fontId="0" fillId="0" borderId="0" xfId="0" applyNumberFormat="1"/>
    <xf numFmtId="164" fontId="0" fillId="0" borderId="0" xfId="1" applyFont="1"/>
    <xf numFmtId="0" fontId="2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2" borderId="0" xfId="0" applyFill="1"/>
    <xf numFmtId="0" fontId="0" fillId="6" borderId="1" xfId="0" applyFill="1" applyBorder="1" applyAlignment="1">
      <alignment horizontal="center" vertical="center"/>
    </xf>
    <xf numFmtId="14" fontId="0" fillId="6" borderId="2" xfId="0" applyNumberForma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1" applyNumberFormat="1" applyFont="1"/>
    <xf numFmtId="0" fontId="4" fillId="0" borderId="0" xfId="0" applyFont="1"/>
    <xf numFmtId="49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left" vertical="center"/>
    </xf>
    <xf numFmtId="14" fontId="0" fillId="0" borderId="0" xfId="1" applyNumberFormat="1" applyFont="1"/>
    <xf numFmtId="14" fontId="0" fillId="0" borderId="0" xfId="1" applyNumberFormat="1" applyFont="1" applyAlignment="1">
      <alignment wrapText="1"/>
    </xf>
    <xf numFmtId="14" fontId="0" fillId="0" borderId="0" xfId="1" applyNumberFormat="1" applyFont="1" applyAlignment="1">
      <alignment horizontal="center" vertic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center"/>
    </xf>
  </cellXfs>
  <cellStyles count="2">
    <cellStyle name="Moneda" xfId="1" builtinId="4"/>
    <cellStyle name="Normal" xfId="0" builtinId="0"/>
  </cellStyles>
  <dxfs count="9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 &quot;$&quot;\ * #,##0.00_ ;_ &quot;$&quot;\ * \-#,##0.00_ ;_ &quot;$&quot;\ * &quot;-&quot;??_ ;_ @_ 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5" formatCode="dd/mm/yyyy"/>
      <alignment horizontal="center" vertical="center" textRotation="0" wrapText="0" indent="0" justifyLastLine="0" shrinkToFit="0" readingOrder="0"/>
    </dxf>
    <dxf>
      <numFmt numFmtId="165" formatCode="dd/mm/yyyy"/>
      <alignment horizontal="center" vertical="center" textRotation="0" wrapText="0" indent="0" justifyLastLine="0" shrinkToFit="0" readingOrder="0"/>
    </dxf>
    <dxf>
      <numFmt numFmtId="19" formatCode="d/m/yyyy"/>
    </dxf>
    <dxf>
      <numFmt numFmtId="19" formatCode="d/m/yyyy"/>
    </dxf>
    <dxf>
      <numFmt numFmtId="165" formatCode="dd/mm/yyyy"/>
    </dxf>
    <dxf>
      <numFmt numFmtId="0" formatCode="General"/>
      <alignment horizontal="center" vertical="center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30" formatCode="@"/>
    </dxf>
    <dxf>
      <alignment horizontal="center" vertical="bottom" textRotation="0" wrapText="0" indent="0" justifyLastLine="0" shrinkToFit="0" readingOrder="0"/>
    </dxf>
    <dxf>
      <alignment horizontal="center"/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CLIENTES" displayName="CLIENTES" ref="C7:Q17" totalsRowShown="0">
  <autoFilter ref="C7:Q17" xr:uid="{00000000-0009-0000-0100-000001000000}"/>
  <sortState xmlns:xlrd2="http://schemas.microsoft.com/office/spreadsheetml/2017/richdata2" ref="C8:Q17">
    <sortCondition ref="C7:C17"/>
  </sortState>
  <tableColumns count="15">
    <tableColumn id="1" xr3:uid="{00000000-0010-0000-0000-000001000000}" name="Apellido"/>
    <tableColumn id="2" xr3:uid="{00000000-0010-0000-0000-000002000000}" name="Nombre"/>
    <tableColumn id="5" xr3:uid="{00000000-0010-0000-0000-000005000000}" name="Telefono" dataDxfId="15" totalsRowDxfId="14"/>
    <tableColumn id="13" xr3:uid="{00000000-0010-0000-0000-00000D000000}" name="Compañia" dataDxfId="13"/>
    <tableColumn id="3" xr3:uid="{CDB0D3F4-B5A2-4677-9CC2-1F8DB06610E2}" name="Patente"/>
    <tableColumn id="6" xr3:uid="{891E73FD-6EA3-48A0-AFCD-52DA273135EC}" name="Cuota" dataDxfId="12" totalsRowDxfId="11"/>
    <tableColumn id="14" xr3:uid="{00000000-0010-0000-0000-00000E000000}" name="Cobertura " dataDxfId="10" totalsRowDxfId="9"/>
    <tableColumn id="15" xr3:uid="{00000000-0010-0000-0000-00000F000000}" name="Ultimo pago"/>
    <tableColumn id="23" xr3:uid="{00000000-0010-0000-0000-000017000000}" name="Fecha Vencimiento"/>
    <tableColumn id="26" xr3:uid="{5565ACC2-0873-47B4-94CE-8B7A67F496AB}" name="Dias a Vencer" dataDxfId="8" totalsRowDxfId="7">
      <calculatedColumnFormula>CLIENTES[[#This Row],[Fecha Vencimiento]]-$J$6</calculatedColumnFormula>
    </tableColumn>
    <tableColumn id="16" xr3:uid="{00000000-0010-0000-0000-000010000000}" name="Fecha Emision"/>
    <tableColumn id="12" xr3:uid="{5CE08857-1801-4BCA-836F-1EC41838F18D}" name="ALERTAS" dataDxfId="6" totalsRowDxfId="5">
      <calculatedColumnFormula>IF(L8&lt;0,"Vencido",IF(L8=0,"Vence hoy",IF(L8&lt;4,"Por vencer","Al dia")))</calculatedColumnFormula>
    </tableColumn>
    <tableColumn id="19" xr3:uid="{00000000-0010-0000-0000-000013000000}" name="Primer Pago" dataDxfId="4" totalsRowDxfId="3" dataCellStyle="Moneda"/>
    <tableColumn id="20" xr3:uid="{00000000-0010-0000-0000-000014000000}" name="Precio Cuo" totalsRowDxfId="2" dataCellStyle="Moneda"/>
    <tableColumn id="21" xr3:uid="{00000000-0010-0000-0000-000015000000}" name="Ganancia" dataDxfId="1" totalsRowDxfId="0" dataCellStyle="Moneda">
      <calculatedColumnFormula>P8-O8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Q17"/>
  <sheetViews>
    <sheetView tabSelected="1" topLeftCell="E1" zoomScale="90" zoomScaleNormal="90" workbookViewId="0">
      <selection activeCell="J10" sqref="J10"/>
    </sheetView>
  </sheetViews>
  <sheetFormatPr baseColWidth="10" defaultColWidth="11.453125" defaultRowHeight="14.5" x14ac:dyDescent="0.35"/>
  <cols>
    <col min="1" max="1" width="33.26953125" customWidth="1"/>
    <col min="2" max="2" width="10.26953125" customWidth="1"/>
    <col min="3" max="3" width="17.54296875" customWidth="1"/>
    <col min="4" max="4" width="21.26953125" customWidth="1"/>
    <col min="5" max="5" width="19.1796875" style="10" customWidth="1"/>
    <col min="6" max="6" width="14.26953125" customWidth="1"/>
    <col min="7" max="7" width="15" customWidth="1"/>
    <col min="8" max="8" width="13.26953125" style="14" customWidth="1"/>
    <col min="9" max="9" width="15" customWidth="1"/>
    <col min="10" max="10" width="16.1796875" customWidth="1"/>
    <col min="11" max="11" width="20.7265625" customWidth="1"/>
    <col min="12" max="12" width="16" style="22" customWidth="1"/>
    <col min="13" max="13" width="14.26953125" customWidth="1"/>
    <col min="14" max="14" width="14.54296875" customWidth="1"/>
    <col min="15" max="15" width="13.54296875" style="1" customWidth="1"/>
    <col min="16" max="16" width="17.7265625" customWidth="1"/>
  </cols>
  <sheetData>
    <row r="1" spans="1:17" x14ac:dyDescent="0.35">
      <c r="D1">
        <v>2</v>
      </c>
      <c r="F1">
        <v>13</v>
      </c>
      <c r="I1">
        <v>14</v>
      </c>
      <c r="J1">
        <v>15</v>
      </c>
      <c r="K1">
        <v>16</v>
      </c>
      <c r="L1" s="22">
        <v>17</v>
      </c>
      <c r="M1">
        <v>18</v>
      </c>
      <c r="N1">
        <v>19</v>
      </c>
      <c r="O1" s="16">
        <v>22</v>
      </c>
      <c r="P1" s="11">
        <v>23</v>
      </c>
      <c r="Q1" s="11">
        <v>24</v>
      </c>
    </row>
    <row r="2" spans="1:17" x14ac:dyDescent="0.35">
      <c r="A2" t="s">
        <v>0</v>
      </c>
    </row>
    <row r="3" spans="1:17" x14ac:dyDescent="0.35">
      <c r="A3" s="4" t="s">
        <v>1</v>
      </c>
      <c r="L3" s="22">
        <v>44478</v>
      </c>
      <c r="M3">
        <f>N3-L3</f>
        <v>31</v>
      </c>
      <c r="N3" s="1">
        <v>44509</v>
      </c>
    </row>
    <row r="4" spans="1:17" ht="23.25" customHeight="1" x14ac:dyDescent="0.35">
      <c r="A4" s="5" t="s">
        <v>2</v>
      </c>
      <c r="K4" t="s">
        <v>3</v>
      </c>
      <c r="L4" s="22" t="s">
        <v>4</v>
      </c>
      <c r="M4" t="s">
        <v>5</v>
      </c>
      <c r="N4" s="2" t="s">
        <v>6</v>
      </c>
    </row>
    <row r="5" spans="1:17" ht="15.75" customHeight="1" thickBot="1" x14ac:dyDescent="0.4">
      <c r="A5" s="6" t="s">
        <v>7</v>
      </c>
      <c r="K5">
        <f ca="1">COUNTIF(CLIENTES[Dias a Vencer],"&lt;0")</f>
        <v>0</v>
      </c>
      <c r="L5" s="22">
        <f ca="1">COUNTIF(CLIENTES[Dias a Vencer],"=0")</f>
        <v>1</v>
      </c>
      <c r="M5">
        <f ca="1">COUNTIFS(CLIENTES[Dias a Vencer],"&gt;0",CLIENTES[Dias a Vencer],"&lt;4")</f>
        <v>4</v>
      </c>
      <c r="N5">
        <f ca="1">COUNTIF(CLIENTES[Dias a Vencer],"&gt;3")</f>
        <v>5</v>
      </c>
    </row>
    <row r="6" spans="1:17" ht="27" customHeight="1" thickBot="1" x14ac:dyDescent="0.4">
      <c r="A6" s="7" t="s">
        <v>8</v>
      </c>
      <c r="D6" s="19"/>
      <c r="E6" s="20"/>
      <c r="I6" s="8" t="s">
        <v>9</v>
      </c>
      <c r="J6" s="9">
        <f ca="1">TODAY()</f>
        <v>45588</v>
      </c>
      <c r="K6" s="12"/>
    </row>
    <row r="7" spans="1:17" x14ac:dyDescent="0.35">
      <c r="B7" s="3"/>
      <c r="C7" t="s">
        <v>10</v>
      </c>
      <c r="D7" t="s">
        <v>11</v>
      </c>
      <c r="E7" s="21" t="s">
        <v>39</v>
      </c>
      <c r="F7" t="s">
        <v>12</v>
      </c>
      <c r="G7" t="s">
        <v>13</v>
      </c>
      <c r="H7" s="15" t="s">
        <v>14</v>
      </c>
      <c r="I7" t="s">
        <v>15</v>
      </c>
      <c r="J7" t="s">
        <v>16</v>
      </c>
      <c r="K7" t="s">
        <v>17</v>
      </c>
      <c r="L7" s="23" t="s">
        <v>18</v>
      </c>
      <c r="M7" t="s">
        <v>19</v>
      </c>
      <c r="N7" s="10" t="s">
        <v>20</v>
      </c>
      <c r="O7" s="17" t="s">
        <v>21</v>
      </c>
      <c r="P7" s="2" t="s">
        <v>22</v>
      </c>
      <c r="Q7" s="2" t="s">
        <v>23</v>
      </c>
    </row>
    <row r="8" spans="1:17" x14ac:dyDescent="0.35">
      <c r="C8" t="s">
        <v>40</v>
      </c>
      <c r="D8" s="3" t="s">
        <v>50</v>
      </c>
      <c r="E8" s="24" t="s">
        <v>67</v>
      </c>
      <c r="F8" s="13" t="s">
        <v>29</v>
      </c>
      <c r="G8" t="s">
        <v>25</v>
      </c>
      <c r="H8" s="14">
        <v>2</v>
      </c>
      <c r="I8" s="10" t="s">
        <v>26</v>
      </c>
      <c r="J8" s="1">
        <v>45589</v>
      </c>
      <c r="K8" s="1">
        <v>45589</v>
      </c>
      <c r="L8" s="22">
        <f ca="1">CLIENTES[[#This Row],[Fecha Vencimiento]]-$J$6</f>
        <v>1</v>
      </c>
      <c r="M8" s="1"/>
      <c r="N8" s="1" t="str">
        <f t="shared" ref="N8:N17" ca="1" si="0">IF(L8&lt;0,"Vencido",IF(L8=0,"Vence hoy",IF(L8&lt;4,"Por vencer","Al dia")))</f>
        <v>Por vencer</v>
      </c>
      <c r="O8" s="18">
        <v>45528</v>
      </c>
      <c r="P8" s="2"/>
      <c r="Q8" s="2">
        <f t="shared" ref="Q8:Q17" si="1">P8-O8</f>
        <v>-45528</v>
      </c>
    </row>
    <row r="9" spans="1:17" x14ac:dyDescent="0.35">
      <c r="B9" s="3"/>
      <c r="C9" t="s">
        <v>41</v>
      </c>
      <c r="D9" s="3" t="s">
        <v>51</v>
      </c>
      <c r="E9" s="24" t="s">
        <v>67</v>
      </c>
      <c r="F9" s="13" t="s">
        <v>24</v>
      </c>
      <c r="G9" t="s">
        <v>27</v>
      </c>
      <c r="H9" s="14">
        <v>2</v>
      </c>
      <c r="I9" s="10" t="s">
        <v>26</v>
      </c>
      <c r="J9" s="1">
        <v>45545</v>
      </c>
      <c r="K9" s="1">
        <v>45590</v>
      </c>
      <c r="L9" s="22">
        <f ca="1">CLIENTES[[#This Row],[Fecha Vencimiento]]-$J$6</f>
        <v>2</v>
      </c>
      <c r="N9" s="1" t="str">
        <f t="shared" ca="1" si="0"/>
        <v>Por vencer</v>
      </c>
      <c r="O9" s="18"/>
      <c r="P9" s="2"/>
      <c r="Q9" s="2">
        <f t="shared" si="1"/>
        <v>0</v>
      </c>
    </row>
    <row r="10" spans="1:17" x14ac:dyDescent="0.35">
      <c r="B10" s="3"/>
      <c r="C10" t="s">
        <v>42</v>
      </c>
      <c r="D10" s="3" t="s">
        <v>52</v>
      </c>
      <c r="E10" s="24" t="s">
        <v>67</v>
      </c>
      <c r="F10" s="13" t="s">
        <v>60</v>
      </c>
      <c r="G10" t="s">
        <v>28</v>
      </c>
      <c r="H10" s="14">
        <v>1</v>
      </c>
      <c r="I10" s="10" t="s">
        <v>38</v>
      </c>
      <c r="J10" s="1">
        <v>45570</v>
      </c>
      <c r="K10" s="1">
        <v>45589</v>
      </c>
      <c r="L10" s="22">
        <f ca="1">CLIENTES[[#This Row],[Fecha Vencimiento]]-$J$6</f>
        <v>1</v>
      </c>
      <c r="N10" s="1" t="str">
        <f t="shared" ca="1" si="0"/>
        <v>Por vencer</v>
      </c>
      <c r="O10" s="18">
        <v>45570</v>
      </c>
      <c r="P10" s="2"/>
      <c r="Q10" s="2">
        <f t="shared" si="1"/>
        <v>-45570</v>
      </c>
    </row>
    <row r="11" spans="1:17" x14ac:dyDescent="0.35">
      <c r="B11" s="3"/>
      <c r="C11" t="s">
        <v>43</v>
      </c>
      <c r="D11" s="3" t="s">
        <v>53</v>
      </c>
      <c r="E11" s="24" t="s">
        <v>67</v>
      </c>
      <c r="F11" s="13" t="s">
        <v>61</v>
      </c>
      <c r="G11" t="s">
        <v>30</v>
      </c>
      <c r="H11" s="14">
        <v>3</v>
      </c>
      <c r="I11" s="10" t="s">
        <v>38</v>
      </c>
      <c r="J11" s="1">
        <v>45579</v>
      </c>
      <c r="K11" s="1">
        <v>45595</v>
      </c>
      <c r="L11" s="22">
        <f ca="1">CLIENTES[[#This Row],[Fecha Vencimiento]]-$J$6</f>
        <v>7</v>
      </c>
      <c r="M11" s="1"/>
      <c r="N11" s="1" t="str">
        <f t="shared" ca="1" si="0"/>
        <v>Al dia</v>
      </c>
      <c r="O11" s="18"/>
      <c r="P11" s="2"/>
      <c r="Q11" s="2">
        <f t="shared" si="1"/>
        <v>0</v>
      </c>
    </row>
    <row r="12" spans="1:17" x14ac:dyDescent="0.35">
      <c r="B12" s="3"/>
      <c r="C12" t="s">
        <v>44</v>
      </c>
      <c r="D12" s="3" t="s">
        <v>54</v>
      </c>
      <c r="E12" s="24" t="s">
        <v>67</v>
      </c>
      <c r="F12" s="13" t="s">
        <v>62</v>
      </c>
      <c r="G12" t="s">
        <v>31</v>
      </c>
      <c r="I12" s="10" t="s">
        <v>38</v>
      </c>
      <c r="J12" s="1">
        <v>45518</v>
      </c>
      <c r="K12" s="1">
        <v>45595</v>
      </c>
      <c r="L12" s="22">
        <f ca="1">CLIENTES[[#This Row],[Fecha Vencimiento]]-$J$6</f>
        <v>7</v>
      </c>
      <c r="N12" s="1" t="str">
        <f t="shared" ca="1" si="0"/>
        <v>Al dia</v>
      </c>
      <c r="O12" s="18"/>
      <c r="P12" s="2"/>
      <c r="Q12" s="2">
        <f t="shared" si="1"/>
        <v>0</v>
      </c>
    </row>
    <row r="13" spans="1:17" x14ac:dyDescent="0.35">
      <c r="B13" s="3"/>
      <c r="C13" t="s">
        <v>45</v>
      </c>
      <c r="D13" s="3" t="s">
        <v>55</v>
      </c>
      <c r="E13" s="24" t="s">
        <v>67</v>
      </c>
      <c r="F13" s="13" t="s">
        <v>63</v>
      </c>
      <c r="G13" t="s">
        <v>32</v>
      </c>
      <c r="H13" s="14">
        <v>5</v>
      </c>
      <c r="I13" s="10" t="s">
        <v>38</v>
      </c>
      <c r="J13" s="1">
        <v>45573</v>
      </c>
      <c r="K13" s="1">
        <v>45595</v>
      </c>
      <c r="L13" s="22">
        <f ca="1">CLIENTES[[#This Row],[Fecha Vencimiento]]-$J$6</f>
        <v>7</v>
      </c>
      <c r="N13" s="1" t="str">
        <f t="shared" ca="1" si="0"/>
        <v>Al dia</v>
      </c>
      <c r="O13" s="18"/>
      <c r="P13" s="2"/>
      <c r="Q13" s="2">
        <f t="shared" si="1"/>
        <v>0</v>
      </c>
    </row>
    <row r="14" spans="1:17" x14ac:dyDescent="0.35">
      <c r="B14" s="3"/>
      <c r="C14" t="s">
        <v>46</v>
      </c>
      <c r="D14" s="3" t="s">
        <v>56</v>
      </c>
      <c r="E14" s="24" t="s">
        <v>67</v>
      </c>
      <c r="F14" s="13" t="s">
        <v>65</v>
      </c>
      <c r="G14" t="s">
        <v>33</v>
      </c>
      <c r="H14" s="14">
        <v>5</v>
      </c>
      <c r="I14" s="10" t="s">
        <v>38</v>
      </c>
      <c r="J14" s="1">
        <v>45548</v>
      </c>
      <c r="K14" s="1">
        <v>45595</v>
      </c>
      <c r="L14" s="22">
        <f ca="1">CLIENTES[[#This Row],[Fecha Vencimiento]]-$J$6</f>
        <v>7</v>
      </c>
      <c r="N14" s="1" t="str">
        <f t="shared" ca="1" si="0"/>
        <v>Al dia</v>
      </c>
      <c r="O14" s="18"/>
      <c r="P14" s="2"/>
      <c r="Q14" s="2">
        <f t="shared" si="1"/>
        <v>0</v>
      </c>
    </row>
    <row r="15" spans="1:17" x14ac:dyDescent="0.35">
      <c r="B15" s="3"/>
      <c r="C15" t="s">
        <v>47</v>
      </c>
      <c r="D15" s="3" t="s">
        <v>57</v>
      </c>
      <c r="E15" s="24" t="s">
        <v>67</v>
      </c>
      <c r="F15" s="13" t="s">
        <v>66</v>
      </c>
      <c r="G15" t="s">
        <v>34</v>
      </c>
      <c r="H15" s="14">
        <v>1</v>
      </c>
      <c r="I15" s="10" t="s">
        <v>38</v>
      </c>
      <c r="J15" s="1">
        <v>45532</v>
      </c>
      <c r="K15" s="1">
        <v>45595</v>
      </c>
      <c r="L15" s="22">
        <f ca="1">CLIENTES[[#This Row],[Fecha Vencimiento]]-$J$6</f>
        <v>7</v>
      </c>
      <c r="N15" s="1" t="str">
        <f t="shared" ca="1" si="0"/>
        <v>Al dia</v>
      </c>
      <c r="O15" s="18">
        <v>45532</v>
      </c>
      <c r="P15" s="2"/>
      <c r="Q15" s="2">
        <f t="shared" si="1"/>
        <v>-45532</v>
      </c>
    </row>
    <row r="16" spans="1:17" x14ac:dyDescent="0.35">
      <c r="C16" t="s">
        <v>48</v>
      </c>
      <c r="D16" s="3" t="s">
        <v>58</v>
      </c>
      <c r="E16" s="24" t="s">
        <v>67</v>
      </c>
      <c r="F16" s="13" t="s">
        <v>64</v>
      </c>
      <c r="G16" t="s">
        <v>35</v>
      </c>
      <c r="H16" s="14">
        <v>1</v>
      </c>
      <c r="I16" s="10" t="s">
        <v>38</v>
      </c>
      <c r="J16" s="1">
        <v>45520</v>
      </c>
      <c r="K16" s="1">
        <v>45588</v>
      </c>
      <c r="L16" s="22">
        <f ca="1">CLIENTES[[#This Row],[Fecha Vencimiento]]-$J$6</f>
        <v>0</v>
      </c>
      <c r="N16" s="1" t="str">
        <f t="shared" ca="1" si="0"/>
        <v>Vence hoy</v>
      </c>
      <c r="O16" s="18"/>
      <c r="P16" s="2"/>
      <c r="Q16" s="2">
        <f t="shared" si="1"/>
        <v>0</v>
      </c>
    </row>
    <row r="17" spans="3:17" x14ac:dyDescent="0.35">
      <c r="C17" t="s">
        <v>49</v>
      </c>
      <c r="D17" s="3" t="s">
        <v>59</v>
      </c>
      <c r="E17" s="24" t="s">
        <v>67</v>
      </c>
      <c r="F17" s="13" t="s">
        <v>36</v>
      </c>
      <c r="G17" t="s">
        <v>37</v>
      </c>
      <c r="H17" s="14">
        <v>5</v>
      </c>
      <c r="I17" s="10" t="s">
        <v>38</v>
      </c>
      <c r="J17" s="1">
        <v>45569</v>
      </c>
      <c r="K17" s="1">
        <v>45591</v>
      </c>
      <c r="L17" s="22">
        <f ca="1">CLIENTES[[#This Row],[Fecha Vencimiento]]-$J$6</f>
        <v>3</v>
      </c>
      <c r="N17" s="1" t="str">
        <f t="shared" ca="1" si="0"/>
        <v>Por vencer</v>
      </c>
      <c r="O17" s="18"/>
      <c r="P17" s="2"/>
      <c r="Q17" s="2">
        <f t="shared" si="1"/>
        <v>0</v>
      </c>
    </row>
  </sheetData>
  <sheetProtection formatCells="0" formatColumns="0" formatRows="0" deleteColumns="0"/>
  <phoneticPr fontId="3" type="noConversion"/>
  <conditionalFormatting sqref="M16:Q17 F16:J17">
    <cfRule type="expression" dxfId="91" priority="776733">
      <formula>AND($L16&gt;0,$L16&lt;4)</formula>
    </cfRule>
    <cfRule type="expression" dxfId="90" priority="776734">
      <formula>$L16&lt;0</formula>
    </cfRule>
    <cfRule type="expression" dxfId="89" priority="776735">
      <formula>$L16=0</formula>
    </cfRule>
    <cfRule type="expression" dxfId="88" priority="776736">
      <formula>#REF!&gt;=4</formula>
    </cfRule>
  </conditionalFormatting>
  <conditionalFormatting sqref="M9:Q9 L9:L11 C8:D17 F9:J9 E8:Q8 E9:E17">
    <cfRule type="expression" dxfId="87" priority="781549">
      <formula>AND($L8&gt;0,$L8&lt;4)</formula>
    </cfRule>
    <cfRule type="expression" dxfId="86" priority="781550">
      <formula>$L8&lt;0</formula>
    </cfRule>
    <cfRule type="expression" dxfId="85" priority="781551">
      <formula>$L8=0</formula>
    </cfRule>
    <cfRule type="expression" dxfId="84" priority="781552">
      <formula>$L7:$L$8&gt;=4</formula>
    </cfRule>
  </conditionalFormatting>
  <conditionalFormatting sqref="L14:L17">
    <cfRule type="expression" dxfId="83" priority="1851125">
      <formula>AND($L14&gt;0,$L14&lt;4)</formula>
    </cfRule>
    <cfRule type="expression" dxfId="82" priority="1851126">
      <formula>$L14&lt;0</formula>
    </cfRule>
    <cfRule type="expression" dxfId="81" priority="1851127">
      <formula>$L14=0</formula>
    </cfRule>
    <cfRule type="expression" dxfId="80" priority="1851128">
      <formula>$L$8:$L12&gt;=4</formula>
    </cfRule>
  </conditionalFormatting>
  <conditionalFormatting sqref="M10:Q11 F10:H11 J10:J11">
    <cfRule type="expression" dxfId="79" priority="2096029">
      <formula>AND($L10&gt;0,$L10&lt;4)</formula>
    </cfRule>
    <cfRule type="expression" dxfId="78" priority="2096030">
      <formula>$L10&lt;0</formula>
    </cfRule>
    <cfRule type="expression" dxfId="77" priority="2096031">
      <formula>$L10=0</formula>
    </cfRule>
    <cfRule type="expression" dxfId="76" priority="2096032">
      <formula>$L8:$L$10&gt;=4</formula>
    </cfRule>
  </conditionalFormatting>
  <conditionalFormatting sqref="L12:L13">
    <cfRule type="expression" dxfId="75" priority="2287445">
      <formula>AND($L12&gt;0,$L12&lt;4)</formula>
    </cfRule>
    <cfRule type="expression" dxfId="74" priority="2287446">
      <formula>$L12&lt;0</formula>
    </cfRule>
    <cfRule type="expression" dxfId="73" priority="2287447">
      <formula>$L12=0</formula>
    </cfRule>
    <cfRule type="expression" dxfId="72" priority="2287448">
      <formula>$L$8:$L11&gt;=4</formula>
    </cfRule>
  </conditionalFormatting>
  <conditionalFormatting sqref="F12:H12 M12:Q12 J12">
    <cfRule type="expression" dxfId="71" priority="2287461">
      <formula>AND($L12&gt;0,$L12&lt;4)</formula>
    </cfRule>
    <cfRule type="expression" dxfId="70" priority="2287462">
      <formula>$L12&lt;0</formula>
    </cfRule>
    <cfRule type="expression" dxfId="69" priority="2287463">
      <formula>$L12=0</formula>
    </cfRule>
    <cfRule type="expression" dxfId="68" priority="2287464">
      <formula>$L10:$L$11&gt;=4</formula>
    </cfRule>
  </conditionalFormatting>
  <conditionalFormatting sqref="F14:H14 M14:Q14 J14">
    <cfRule type="expression" dxfId="67" priority="2287473">
      <formula>AND($L14&gt;0,$L14&lt;4)</formula>
    </cfRule>
    <cfRule type="expression" dxfId="66" priority="2287474">
      <formula>$L14&lt;0</formula>
    </cfRule>
    <cfRule type="expression" dxfId="65" priority="2287475">
      <formula>$L14=0</formula>
    </cfRule>
    <cfRule type="expression" dxfId="64" priority="2287476">
      <formula>#REF!&gt;=4</formula>
    </cfRule>
  </conditionalFormatting>
  <conditionalFormatting sqref="M15:Q15 F15:H15 J15">
    <cfRule type="expression" dxfId="63" priority="2287521">
      <formula>AND($L15&gt;0,$L15&lt;4)</formula>
    </cfRule>
    <cfRule type="expression" dxfId="62" priority="2287522">
      <formula>$L15&lt;0</formula>
    </cfRule>
    <cfRule type="expression" dxfId="61" priority="2287523">
      <formula>$L15=0</formula>
    </cfRule>
    <cfRule type="expression" dxfId="60" priority="2287524">
      <formula>$L10:$L$11&gt;=4</formula>
    </cfRule>
  </conditionalFormatting>
  <conditionalFormatting sqref="F13:H13 M13:Q13 J13">
    <cfRule type="expression" dxfId="59" priority="2287533">
      <formula>AND($L13&gt;0,$L13&lt;4)</formula>
    </cfRule>
    <cfRule type="expression" dxfId="58" priority="2287534">
      <formula>$L13&lt;0</formula>
    </cfRule>
    <cfRule type="expression" dxfId="57" priority="2287535">
      <formula>$L13=0</formula>
    </cfRule>
    <cfRule type="expression" dxfId="56" priority="2287536">
      <formula>#REF!&gt;=4</formula>
    </cfRule>
  </conditionalFormatting>
  <conditionalFormatting sqref="K10:K15">
    <cfRule type="expression" dxfId="55" priority="45">
      <formula>AND($L10&gt;0,$L10&lt;4)</formula>
    </cfRule>
    <cfRule type="expression" dxfId="54" priority="46">
      <formula>$L10&lt;0</formula>
    </cfRule>
    <cfRule type="expression" dxfId="53" priority="47">
      <formula>$L10=0</formula>
    </cfRule>
    <cfRule type="expression" dxfId="52" priority="48">
      <formula>$L$8:$L9&gt;=4</formula>
    </cfRule>
  </conditionalFormatting>
  <conditionalFormatting sqref="K17">
    <cfRule type="expression" dxfId="51" priority="33">
      <formula>AND($L17&gt;0,$L17&lt;4)</formula>
    </cfRule>
    <cfRule type="expression" dxfId="50" priority="34">
      <formula>$L17&lt;0</formula>
    </cfRule>
    <cfRule type="expression" dxfId="49" priority="35">
      <formula>$L17=0</formula>
    </cfRule>
    <cfRule type="expression" dxfId="48" priority="36">
      <formula>$L$8:$L16&gt;=4</formula>
    </cfRule>
  </conditionalFormatting>
  <conditionalFormatting sqref="K16">
    <cfRule type="expression" dxfId="47" priority="29">
      <formula>AND($L16&gt;0,$L16&lt;4)</formula>
    </cfRule>
    <cfRule type="expression" dxfId="46" priority="30">
      <formula>$L16&lt;0</formula>
    </cfRule>
    <cfRule type="expression" dxfId="45" priority="31">
      <formula>$L16=0</formula>
    </cfRule>
    <cfRule type="expression" dxfId="44" priority="32">
      <formula>$L$8:$L15&gt;=4</formula>
    </cfRule>
  </conditionalFormatting>
  <conditionalFormatting sqref="I15">
    <cfRule type="expression" dxfId="43" priority="25">
      <formula>AND($L15&gt;0,$L15&lt;4)</formula>
    </cfRule>
    <cfRule type="expression" dxfId="42" priority="26">
      <formula>$L15&lt;0</formula>
    </cfRule>
    <cfRule type="expression" dxfId="41" priority="27">
      <formula>$L15=0</formula>
    </cfRule>
    <cfRule type="expression" dxfId="40" priority="28">
      <formula>#REF!&gt;=4</formula>
    </cfRule>
  </conditionalFormatting>
  <conditionalFormatting sqref="I14">
    <cfRule type="expression" dxfId="39" priority="21">
      <formula>AND($L14&gt;0,$L14&lt;4)</formula>
    </cfRule>
    <cfRule type="expression" dxfId="38" priority="22">
      <formula>$L14&lt;0</formula>
    </cfRule>
    <cfRule type="expression" dxfId="37" priority="23">
      <formula>$L14=0</formula>
    </cfRule>
    <cfRule type="expression" dxfId="36" priority="24">
      <formula>#REF!&gt;=4</formula>
    </cfRule>
  </conditionalFormatting>
  <conditionalFormatting sqref="I13">
    <cfRule type="expression" dxfId="35" priority="17">
      <formula>AND($L13&gt;0,$L13&lt;4)</formula>
    </cfRule>
    <cfRule type="expression" dxfId="34" priority="18">
      <formula>$L13&lt;0</formula>
    </cfRule>
    <cfRule type="expression" dxfId="33" priority="19">
      <formula>$L13=0</formula>
    </cfRule>
    <cfRule type="expression" dxfId="32" priority="20">
      <formula>#REF!&gt;=4</formula>
    </cfRule>
  </conditionalFormatting>
  <conditionalFormatting sqref="I12">
    <cfRule type="expression" dxfId="31" priority="13">
      <formula>AND($L12&gt;0,$L12&lt;4)</formula>
    </cfRule>
    <cfRule type="expression" dxfId="30" priority="14">
      <formula>$L12&lt;0</formula>
    </cfRule>
    <cfRule type="expression" dxfId="29" priority="15">
      <formula>$L12=0</formula>
    </cfRule>
    <cfRule type="expression" dxfId="28" priority="16">
      <formula>#REF!&gt;=4</formula>
    </cfRule>
  </conditionalFormatting>
  <conditionalFormatting sqref="I11">
    <cfRule type="expression" dxfId="27" priority="9">
      <formula>AND($L11&gt;0,$L11&lt;4)</formula>
    </cfRule>
    <cfRule type="expression" dxfId="26" priority="10">
      <formula>$L11&lt;0</formula>
    </cfRule>
    <cfRule type="expression" dxfId="25" priority="11">
      <formula>$L11=0</formula>
    </cfRule>
    <cfRule type="expression" dxfId="24" priority="12">
      <formula>#REF!&gt;=4</formula>
    </cfRule>
  </conditionalFormatting>
  <conditionalFormatting sqref="I10">
    <cfRule type="expression" dxfId="23" priority="5">
      <formula>AND($L10&gt;0,$L10&lt;4)</formula>
    </cfRule>
    <cfRule type="expression" dxfId="22" priority="6">
      <formula>$L10&lt;0</formula>
    </cfRule>
    <cfRule type="expression" dxfId="21" priority="7">
      <formula>$L10=0</formula>
    </cfRule>
    <cfRule type="expression" dxfId="20" priority="8">
      <formula>#REF!&gt;=4</formula>
    </cfRule>
  </conditionalFormatting>
  <conditionalFormatting sqref="K9">
    <cfRule type="expression" dxfId="19" priority="1">
      <formula>AND($L9&gt;0,$L9&lt;4)</formula>
    </cfRule>
    <cfRule type="expression" dxfId="18" priority="2">
      <formula>$L9&lt;0</formula>
    </cfRule>
    <cfRule type="expression" dxfId="17" priority="3">
      <formula>$L9=0</formula>
    </cfRule>
    <cfRule type="expression" dxfId="16" priority="4">
      <formula>$L7:$L$10&gt;=4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D036F-FC14-4E34-B06C-600B8AA35BD1}">
  <dimension ref="A1"/>
  <sheetViews>
    <sheetView workbookViewId="0">
      <selection activeCell="G10" sqref="G10"/>
    </sheetView>
  </sheetViews>
  <sheetFormatPr baseColWidth="10" defaultColWidth="9.1796875"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BD</vt:lpstr>
      <vt:lpstr>Hoja1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Usuario</dc:creator>
  <cp:keywords/>
  <dc:description/>
  <cp:lastModifiedBy>Ricardo Gomez Thames Estudio</cp:lastModifiedBy>
  <cp:revision/>
  <dcterms:created xsi:type="dcterms:W3CDTF">2021-10-21T13:21:54Z</dcterms:created>
  <dcterms:modified xsi:type="dcterms:W3CDTF">2024-10-23T21:50:10Z</dcterms:modified>
  <cp:category/>
  <cp:contentStatus/>
</cp:coreProperties>
</file>