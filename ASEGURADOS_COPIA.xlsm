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e347e3fff6b34b/Documentos/PROYECTO WEB/ProyectOfi/"/>
    </mc:Choice>
  </mc:AlternateContent>
  <xr:revisionPtr revIDLastSave="6" documentId="13_ncr:1_{44768877-D27A-4A7B-9F84-EE6828CD37F5}" xr6:coauthVersionLast="47" xr6:coauthVersionMax="47" xr10:uidLastSave="{4134FF39-2FD1-44E9-A969-4C164CAF33FF}"/>
  <bookViews>
    <workbookView xWindow="-120" yWindow="-120" windowWidth="2073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<sst xmlns="http://schemas.openxmlformats.org/spreadsheetml/2006/main" count="85" uniqueCount="68">
  <si>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</si>
  <si>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</si>
  <si>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</si>
  <si>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</si>
  <si>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</si>
  <si>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</si>
  <si>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</si>
  <si>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</si>
  <si>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</si>
  <si>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</si>
  <si>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</si>
  <si>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</si>
  <si>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</si>
  <si>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</si>
  <si>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</si>
  <si>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</si>
  <si>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</si>
  <si>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</si>
  <si>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</si>
  <si>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</si>
  <si>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</si>
  <si>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</si>
  <si>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</si>
  <si>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</si>
  <si>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</si>
  <si>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</si>
  <si>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</si>
  <si>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</si>
  <si>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</si>
  <si>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</si>
  <si>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</si>
  <si>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</si>
  <si>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</si>
  <si>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</si>
  <si>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</si>
  <si>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</si>
  <si>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</si>
  <si>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</si>
  <si>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</si>
  <si>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</si>
  <si>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</si>
  <si>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</si>
  <si>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</si>
  <si>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</si>
  <si>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</si>
  <si>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</si>
  <si>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</si>
  <si>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</si>
  <si>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</si>
  <si>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</si>
  <si>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</si>
  <si>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</si>
  <si>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</si>
  <si>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</si>
  <si>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</si>
  <si>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</si>
  <si>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</si>
  <si>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</si>
  <si>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</si>
  <si>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</si>
  <si>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</si>
  <si>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</si>
  <si>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</si>
  <si>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</si>
  <si>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</si>
  <si>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</si>
  <si>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</si>
  <si>
    <t>+541123901151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</si>
</sst>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5" totalsRowDxfId="14"/>
    <tableColumn id="13" xr3:uid="{00000000-0010-0000-0000-00000D000000}" name="Compañia" dataDxfId="13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topLeftCell="C1" zoomScale="90" zoomScaleNormal="90" workbookViewId="0">
      <selection activeCell="K10" sqref="K10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20.7109375" customWidth="1"/>
    <col min="12" max="12" width="16" style="22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6</v>
      </c>
      <c r="L5" s="22">
        <f ca="1">COUNTIF(CLIENTES[Dias a Vencer],"=0")</f>
        <v>2</v>
      </c>
      <c r="M5">
        <f ca="1">COUNTIFS(CLIENTES[Dias a Vencer],"&gt;0",CLIENTES[Dias a Vencer],"&lt;4")</f>
        <v>2</v>
      </c>
      <c r="N5">
        <f ca="1">COUNTIF(CLIENTES[Dias a Vencer],"&gt;3")</f>
        <v>0</v>
      </c>
    </row>
    <row r="6" spans="1:17" ht="27" customHeight="1" thickBot="1" x14ac:dyDescent="0.3">
      <c r="A6" s="7" t="s">
        <v>8</v>
      </c>
      <c r="D6" s="19"/>
      <c r="E6" s="20"/>
      <c r="I6" s="8" t="s">
        <v>9</v>
      </c>
      <c r="J6" s="9">
        <f ca="1">TODAY()</f>
        <v>45595</v>
      </c>
      <c r="K6" s="12"/>
    </row>
    <row r="7" spans="1:17" x14ac:dyDescent="0.2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25">
      <c r="C8" t="s">
        <v>40</v>
      </c>
      <c r="D8" s="3" t="s">
        <v>50</v>
      </c>
      <c r="E8" s="24" t="s">
        <v>67</v>
      </c>
      <c r="F8" s="13" t="s">
        <v>29</v>
      </c>
      <c r="G8" t="s">
        <v>25</v>
      </c>
      <c r="H8" s="14">
        <v>2</v>
      </c>
      <c r="I8" s="10" t="s">
        <v>26</v>
      </c>
      <c r="J8" s="1">
        <v>45595</v>
      </c>
      <c r="K8" s="1">
        <v>45595</v>
      </c>
      <c r="L8" s="22">
        <f ca="1">CLIENTES[[#This Row],[Fecha Vencimiento]]-$J$6</f>
        <v>0</v>
      </c>
      <c r="M8" s="1"/>
      <c r="N8" s="1" t="str">
        <f t="shared" ref="N8:N17" ca="1" si="0">IF(L8&lt;0,"Vencido",IF(L8=0,"Vence hoy",IF(L8&lt;4,"Por vencer","Al dia")))</f>
        <v>Vence hoy</v>
      </c>
      <c r="O8" s="18">
        <v>45528</v>
      </c>
      <c r="P8" s="2"/>
      <c r="Q8" s="2">
        <f t="shared" ref="Q8:Q17" si="1">P8-O8</f>
        <v>-45528</v>
      </c>
    </row>
    <row r="9" spans="1:17" x14ac:dyDescent="0.25">
      <c r="B9" s="3"/>
      <c r="C9" t="s">
        <v>41</v>
      </c>
      <c r="D9" s="3" t="s">
        <v>51</v>
      </c>
      <c r="E9" s="24" t="s">
        <v>67</v>
      </c>
      <c r="F9" s="13" t="s">
        <v>24</v>
      </c>
      <c r="G9" t="s">
        <v>27</v>
      </c>
      <c r="H9" s="14">
        <v>2</v>
      </c>
      <c r="I9" s="10" t="s">
        <v>26</v>
      </c>
      <c r="J9" s="1">
        <v>45595</v>
      </c>
      <c r="K9" s="1">
        <v>45595</v>
      </c>
      <c r="L9" s="22">
        <f ca="1">CLIENTES[[#This Row],[Fecha Vencimiento]]-$J$6</f>
        <v>0</v>
      </c>
      <c r="N9" s="1" t="str">
        <f t="shared" ca="1" si="0"/>
        <v>Vence hoy</v>
      </c>
      <c r="O9" s="18"/>
      <c r="P9" s="2"/>
      <c r="Q9" s="2">
        <f t="shared" si="1"/>
        <v>0</v>
      </c>
    </row>
    <row r="10" spans="1:17" x14ac:dyDescent="0.25">
      <c r="B10" s="3"/>
      <c r="C10" t="s">
        <v>42</v>
      </c>
      <c r="D10" s="3" t="s">
        <v>52</v>
      </c>
      <c r="E10" s="24" t="s">
        <v>67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45598</v>
      </c>
      <c r="L10" s="22">
        <f ca="1">CLIENTES[[#This Row],[Fecha Vencimiento]]-$J$6</f>
        <v>3</v>
      </c>
      <c r="N10" s="1" t="str">
        <f t="shared" ca="1" si="0"/>
        <v>Por vencer</v>
      </c>
      <c r="O10" s="18">
        <v>45570</v>
      </c>
      <c r="P10" s="2"/>
      <c r="Q10" s="2">
        <f t="shared" si="1"/>
        <v>-45570</v>
      </c>
    </row>
    <row r="11" spans="1:17" x14ac:dyDescent="0.25">
      <c r="B11" s="3"/>
      <c r="C11" t="s">
        <v>43</v>
      </c>
      <c r="D11" s="3" t="s">
        <v>53</v>
      </c>
      <c r="E11" s="24" t="s">
        <v>67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45598</v>
      </c>
      <c r="L11" s="22">
        <f ca="1">CLIENTES[[#This Row],[Fecha Vencimiento]]-$J$6</f>
        <v>3</v>
      </c>
      <c r="M11" s="1"/>
      <c r="N11" s="1" t="str">
        <f t="shared" ca="1" si="0"/>
        <v>Por vencer</v>
      </c>
      <c r="O11" s="18"/>
      <c r="P11" s="2"/>
      <c r="Q11" s="2">
        <f t="shared" si="1"/>
        <v>0</v>
      </c>
    </row>
    <row r="12" spans="1:17" x14ac:dyDescent="0.25">
      <c r="B12" s="3"/>
      <c r="C12" t="s">
        <v>44</v>
      </c>
      <c r="D12" s="3" t="s">
        <v>54</v>
      </c>
      <c r="E12" s="24" t="s">
        <v>67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45593</v>
      </c>
      <c r="L12" s="22">
        <f ca="1">CLIENTES[[#This Row],[Fecha Vencimiento]]-$J$6</f>
        <v>-2</v>
      </c>
      <c r="N12" s="1" t="str">
        <f t="shared" ca="1" si="0"/>
        <v>Vencido</v>
      </c>
      <c r="O12" s="18"/>
      <c r="P12" s="2"/>
      <c r="Q12" s="2">
        <f t="shared" si="1"/>
        <v>0</v>
      </c>
    </row>
    <row r="13" spans="1:17" x14ac:dyDescent="0.25">
      <c r="B13" s="3"/>
      <c r="C13" t="s">
        <v>45</v>
      </c>
      <c r="D13" s="3" t="s">
        <v>55</v>
      </c>
      <c r="E13" s="24" t="s">
        <v>67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45591</v>
      </c>
      <c r="L13" s="22">
        <f ca="1">CLIENTES[[#This Row],[Fecha Vencimiento]]-$J$6</f>
        <v>-4</v>
      </c>
      <c r="N13" s="1" t="str">
        <f t="shared" ca="1" si="0"/>
        <v>Vencido</v>
      </c>
      <c r="O13" s="18"/>
      <c r="P13" s="2"/>
      <c r="Q13" s="2">
        <f t="shared" si="1"/>
        <v>0</v>
      </c>
    </row>
    <row r="14" spans="1:17" x14ac:dyDescent="0.25">
      <c r="B14" s="3"/>
      <c r="C14" t="s">
        <v>46</v>
      </c>
      <c r="D14" s="3" t="s">
        <v>56</v>
      </c>
      <c r="E14" s="24" t="s">
        <v>67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45590</v>
      </c>
      <c r="L14" s="22">
        <f ca="1">CLIENTES[[#This Row],[Fecha Vencimiento]]-$J$6</f>
        <v>-5</v>
      </c>
      <c r="N14" s="1" t="str">
        <f t="shared" ca="1" si="0"/>
        <v>Vencido</v>
      </c>
      <c r="O14" s="18"/>
      <c r="P14" s="2"/>
      <c r="Q14" s="2">
        <f t="shared" si="1"/>
        <v>0</v>
      </c>
    </row>
    <row r="15" spans="1:17" x14ac:dyDescent="0.25">
      <c r="B15" s="3"/>
      <c r="C15" t="s">
        <v>47</v>
      </c>
      <c r="D15" s="3" t="s">
        <v>57</v>
      </c>
      <c r="E15" s="24" t="s">
        <v>67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45593</v>
      </c>
      <c r="L15" s="22">
        <f ca="1">CLIENTES[[#This Row],[Fecha Vencimiento]]-$J$6</f>
        <v>-2</v>
      </c>
      <c r="N15" s="1" t="str">
        <f t="shared" ca="1" si="0"/>
        <v>Vencido</v>
      </c>
      <c r="O15" s="18">
        <v>45532</v>
      </c>
      <c r="P15" s="2"/>
      <c r="Q15" s="2">
        <f t="shared" si="1"/>
        <v>-45532</v>
      </c>
    </row>
    <row r="16" spans="1:17" x14ac:dyDescent="0.25">
      <c r="C16" t="s">
        <v>48</v>
      </c>
      <c r="D16" s="3" t="s">
        <v>58</v>
      </c>
      <c r="E16" s="24" t="s">
        <v>67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45593</v>
      </c>
      <c r="L16" s="22">
        <f ca="1">CLIENTES[[#This Row],[Fecha Vencimiento]]-$J$6</f>
        <v>-2</v>
      </c>
      <c r="N16" s="1" t="str">
        <f t="shared" ca="1" si="0"/>
        <v>Vencido</v>
      </c>
      <c r="O16" s="18"/>
      <c r="P16" s="2"/>
      <c r="Q16" s="2">
        <f t="shared" si="1"/>
        <v>0</v>
      </c>
    </row>
    <row r="17" spans="3:17" x14ac:dyDescent="0.25">
      <c r="C17" t="s">
        <v>49</v>
      </c>
      <c r="D17" s="3" t="s">
        <v>59</v>
      </c>
      <c r="E17" s="24" t="s">
        <v>67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45592</v>
      </c>
      <c r="L17" s="22">
        <f ca="1">CLIENTES[[#This Row],[Fecha Vencimiento]]-$J$6</f>
        <v>-3</v>
      </c>
      <c r="N17" s="1" t="str">
        <f t="shared" ca="1" si="0"/>
        <v>Vencido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87" priority="776733">
      <formula>AND($L16&gt;0,$L16&lt;4)</formula>
    </cfRule>
    <cfRule type="expression" dxfId="86" priority="776734">
      <formula>$L16&lt;0</formula>
    </cfRule>
    <cfRule type="expression" dxfId="85" priority="776735">
      <formula>$L16=0</formula>
    </cfRule>
    <cfRule type="expression" dxfId="84" priority="776736">
      <formula>#REF!&gt;=4</formula>
    </cfRule>
  </conditionalFormatting>
  <conditionalFormatting sqref="M9:Q9 L9:L11 C8:D17 E9:E17 F9:K9 E8:Q8">
    <cfRule type="expression" dxfId="83" priority="781549">
      <formula>AND($L8&gt;0,$L8&lt;4)</formula>
    </cfRule>
    <cfRule type="expression" dxfId="82" priority="781550">
      <formula>$L8&lt;0</formula>
    </cfRule>
    <cfRule type="expression" dxfId="81" priority="781551">
      <formula>$L8=0</formula>
    </cfRule>
    <cfRule type="expression" dxfId="80" priority="781552">
      <formula>$L7:$L$8&gt;=4</formula>
    </cfRule>
  </conditionalFormatting>
  <conditionalFormatting sqref="L14:L17">
    <cfRule type="expression" dxfId="79" priority="1851125">
      <formula>AND($L14&gt;0,$L14&lt;4)</formula>
    </cfRule>
    <cfRule type="expression" dxfId="78" priority="1851126">
      <formula>$L14&lt;0</formula>
    </cfRule>
    <cfRule type="expression" dxfId="77" priority="1851127">
      <formula>$L14=0</formula>
    </cfRule>
    <cfRule type="expression" dxfId="76" priority="1851128">
      <formula>$L$8:$L12&gt;=4</formula>
    </cfRule>
  </conditionalFormatting>
  <conditionalFormatting sqref="M10:Q11 F10:H11 J10:J11">
    <cfRule type="expression" dxfId="75" priority="2096029">
      <formula>AND($L10&gt;0,$L10&lt;4)</formula>
    </cfRule>
    <cfRule type="expression" dxfId="74" priority="2096030">
      <formula>$L10&lt;0</formula>
    </cfRule>
    <cfRule type="expression" dxfId="73" priority="2096031">
      <formula>$L10=0</formula>
    </cfRule>
    <cfRule type="expression" dxfId="72" priority="2096032">
      <formula>$L8:$L$10&gt;=4</formula>
    </cfRule>
  </conditionalFormatting>
  <conditionalFormatting sqref="L12:L13">
    <cfRule type="expression" dxfId="71" priority="2287445">
      <formula>AND($L12&gt;0,$L12&lt;4)</formula>
    </cfRule>
    <cfRule type="expression" dxfId="70" priority="2287446">
      <formula>$L12&lt;0</formula>
    </cfRule>
    <cfRule type="expression" dxfId="69" priority="2287447">
      <formula>$L12=0</formula>
    </cfRule>
    <cfRule type="expression" dxfId="68" priority="2287448">
      <formula>$L$8:$L11&gt;=4</formula>
    </cfRule>
  </conditionalFormatting>
  <conditionalFormatting sqref="F12:H12 M12:Q12 J12">
    <cfRule type="expression" dxfId="67" priority="2287461">
      <formula>AND($L12&gt;0,$L12&lt;4)</formula>
    </cfRule>
    <cfRule type="expression" dxfId="66" priority="2287462">
      <formula>$L12&lt;0</formula>
    </cfRule>
    <cfRule type="expression" dxfId="65" priority="2287463">
      <formula>$L12=0</formula>
    </cfRule>
    <cfRule type="expression" dxfId="64" priority="2287464">
      <formula>$L10:$L$11&gt;=4</formula>
    </cfRule>
  </conditionalFormatting>
  <conditionalFormatting sqref="F14:H14 M14:Q14 J14">
    <cfRule type="expression" dxfId="63" priority="2287473">
      <formula>AND($L14&gt;0,$L14&lt;4)</formula>
    </cfRule>
    <cfRule type="expression" dxfId="62" priority="2287474">
      <formula>$L14&lt;0</formula>
    </cfRule>
    <cfRule type="expression" dxfId="61" priority="2287475">
      <formula>$L14=0</formula>
    </cfRule>
    <cfRule type="expression" dxfId="60" priority="2287476">
      <formula>#REF!&gt;=4</formula>
    </cfRule>
  </conditionalFormatting>
  <conditionalFormatting sqref="M15:Q15 F15:H15 J15">
    <cfRule type="expression" dxfId="59" priority="2287521">
      <formula>AND($L15&gt;0,$L15&lt;4)</formula>
    </cfRule>
    <cfRule type="expression" dxfId="58" priority="2287522">
      <formula>$L15&lt;0</formula>
    </cfRule>
    <cfRule type="expression" dxfId="57" priority="2287523">
      <formula>$L15=0</formula>
    </cfRule>
    <cfRule type="expression" dxfId="56" priority="2287524">
      <formula>$L10:$L$11&gt;=4</formula>
    </cfRule>
  </conditionalFormatting>
  <conditionalFormatting sqref="F13:H13 M13:Q13 J13">
    <cfRule type="expression" dxfId="55" priority="2287533">
      <formula>AND($L13&gt;0,$L13&lt;4)</formula>
    </cfRule>
    <cfRule type="expression" dxfId="54" priority="2287534">
      <formula>$L13&lt;0</formula>
    </cfRule>
    <cfRule type="expression" dxfId="53" priority="2287535">
      <formula>$L13=0</formula>
    </cfRule>
    <cfRule type="expression" dxfId="52" priority="2287536">
      <formula>#REF!&gt;=4</formula>
    </cfRule>
  </conditionalFormatting>
  <conditionalFormatting sqref="K10:K15">
    <cfRule type="expression" dxfId="51" priority="45">
      <formula>AND($L10&gt;0,$L10&lt;4)</formula>
    </cfRule>
    <cfRule type="expression" dxfId="50" priority="46">
      <formula>$L10&lt;0</formula>
    </cfRule>
    <cfRule type="expression" dxfId="49" priority="47">
      <formula>$L10=0</formula>
    </cfRule>
    <cfRule type="expression" dxfId="48" priority="48">
      <formula>$L$8:$L9&gt;=4</formula>
    </cfRule>
  </conditionalFormatting>
  <conditionalFormatting sqref="K17">
    <cfRule type="expression" dxfId="47" priority="33">
      <formula>AND($L17&gt;0,$L17&lt;4)</formula>
    </cfRule>
    <cfRule type="expression" dxfId="46" priority="34">
      <formula>$L17&lt;0</formula>
    </cfRule>
    <cfRule type="expression" dxfId="45" priority="35">
      <formula>$L17=0</formula>
    </cfRule>
    <cfRule type="expression" dxfId="44" priority="36">
      <formula>$L$8:$L16&gt;=4</formula>
    </cfRule>
  </conditionalFormatting>
  <conditionalFormatting sqref="K16">
    <cfRule type="expression" dxfId="43" priority="29">
      <formula>AND($L16&gt;0,$L16&lt;4)</formula>
    </cfRule>
    <cfRule type="expression" dxfId="42" priority="30">
      <formula>$L16&lt;0</formula>
    </cfRule>
    <cfRule type="expression" dxfId="41" priority="31">
      <formula>$L16=0</formula>
    </cfRule>
    <cfRule type="expression" dxfId="40" priority="32">
      <formula>$L$8:$L15&gt;=4</formula>
    </cfRule>
  </conditionalFormatting>
  <conditionalFormatting sqref="I15">
    <cfRule type="expression" dxfId="39" priority="25">
      <formula>AND($L15&gt;0,$L15&lt;4)</formula>
    </cfRule>
    <cfRule type="expression" dxfId="38" priority="26">
      <formula>$L15&lt;0</formula>
    </cfRule>
    <cfRule type="expression" dxfId="37" priority="27">
      <formula>$L15=0</formula>
    </cfRule>
    <cfRule type="expression" dxfId="36" priority="28">
      <formula>#REF!&gt;=4</formula>
    </cfRule>
  </conditionalFormatting>
  <conditionalFormatting sqref="I14">
    <cfRule type="expression" dxfId="35" priority="21">
      <formula>AND($L14&gt;0,$L14&lt;4)</formula>
    </cfRule>
    <cfRule type="expression" dxfId="34" priority="22">
      <formula>$L14&lt;0</formula>
    </cfRule>
    <cfRule type="expression" dxfId="33" priority="23">
      <formula>$L14=0</formula>
    </cfRule>
    <cfRule type="expression" dxfId="32" priority="24">
      <formula>#REF!&gt;=4</formula>
    </cfRule>
  </conditionalFormatting>
  <conditionalFormatting sqref="I13">
    <cfRule type="expression" dxfId="31" priority="17">
      <formula>AND($L13&gt;0,$L13&lt;4)</formula>
    </cfRule>
    <cfRule type="expression" dxfId="30" priority="18">
      <formula>$L13&lt;0</formula>
    </cfRule>
    <cfRule type="expression" dxfId="29" priority="19">
      <formula>$L13=0</formula>
    </cfRule>
    <cfRule type="expression" dxfId="28" priority="20">
      <formula>#REF!&gt;=4</formula>
    </cfRule>
  </conditionalFormatting>
  <conditionalFormatting sqref="I12">
    <cfRule type="expression" dxfId="27" priority="13">
      <formula>AND($L12&gt;0,$L12&lt;4)</formula>
    </cfRule>
    <cfRule type="expression" dxfId="26" priority="14">
      <formula>$L12&lt;0</formula>
    </cfRule>
    <cfRule type="expression" dxfId="25" priority="15">
      <formula>$L12=0</formula>
    </cfRule>
    <cfRule type="expression" dxfId="24" priority="16">
      <formula>#REF!&gt;=4</formula>
    </cfRule>
  </conditionalFormatting>
  <conditionalFormatting sqref="I11">
    <cfRule type="expression" dxfId="23" priority="9">
      <formula>AND($L11&gt;0,$L11&lt;4)</formula>
    </cfRule>
    <cfRule type="expression" dxfId="22" priority="10">
      <formula>$L11&lt;0</formula>
    </cfRule>
    <cfRule type="expression" dxfId="21" priority="11">
      <formula>$L11=0</formula>
    </cfRule>
    <cfRule type="expression" dxfId="20" priority="12">
      <formula>#REF!&gt;=4</formula>
    </cfRule>
  </conditionalFormatting>
  <conditionalFormatting sqref="I10">
    <cfRule type="expression" dxfId="19" priority="5">
      <formula>AND($L10&gt;0,$L10&lt;4)</formula>
    </cfRule>
    <cfRule type="expression" dxfId="18" priority="6">
      <formula>$L10&lt;0</formula>
    </cfRule>
    <cfRule type="expression" dxfId="17" priority="7">
      <formula>$L10=0</formula>
    </cfRule>
    <cfRule type="expression" dxfId="16" priority="8">
      <formula>#REF!&gt;=4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2024-10-30T18:40:23Z</dcterms:modified>
  <cp:category/>
  <cp:contentStatus/>
</cp:coreProperties>
</file>