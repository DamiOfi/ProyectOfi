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mian\Documents\PROYECTOS WEB\Proyecto Ofi\"/>
    </mc:Choice>
  </mc:AlternateContent>
  <xr:revisionPtr revIDLastSave="0" documentId="13_ncr:1_{1471EB2D-4930-4DE2-B3D5-D0A43B14C5AD}" xr6:coauthVersionLast="47" xr6:coauthVersionMax="47" xr10:uidLastSave="{00000000-0000-0000-0000-000000000000}"/>
  <bookViews>
    <workbookView xWindow="-110" yWindow="-110" windowWidth="16220" windowHeight="11620" xr2:uid="{00000000-000D-0000-FFFF-FFFF00000000}"/>
  </bookViews>
  <sheets>
    <sheet name="BD" sheetId="1" r:id="rId1"/>
    <sheet name="Hoja1" sheetId="2" r:id="rId2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9" i="1" l="1"/>
  <c r="Q10" i="1"/>
  <c r="Q35" i="1"/>
  <c r="Q13" i="1"/>
  <c r="Q25" i="1"/>
  <c r="Q27" i="1"/>
  <c r="Q26" i="1"/>
  <c r="Q23" i="1"/>
  <c r="Q8" i="1"/>
  <c r="Q11" i="1"/>
  <c r="Q20" i="1"/>
  <c r="J6" i="1"/>
  <c r="Q30" i="1"/>
  <c r="Q31" i="1"/>
  <c r="Q28" i="1"/>
  <c r="Q24" i="1"/>
  <c r="Q33" i="1"/>
  <c r="Q12" i="1"/>
  <c r="Q14" i="1"/>
  <c r="Q15" i="1"/>
  <c r="Q21" i="1"/>
  <c r="Q16" i="1"/>
  <c r="Q17" i="1"/>
  <c r="Q18" i="1"/>
  <c r="Q19" i="1"/>
  <c r="Q32" i="1"/>
  <c r="Q22" i="1"/>
  <c r="Q9" i="1"/>
  <c r="Q34" i="1"/>
  <c r="M3" i="1"/>
  <c r="L29" i="1" l="1"/>
  <c r="N29" i="1" s="1"/>
  <c r="L10" i="1"/>
  <c r="N10" i="1" s="1"/>
  <c r="L35" i="1"/>
  <c r="N35" i="1" s="1"/>
  <c r="L9" i="1"/>
  <c r="N9" i="1" s="1"/>
  <c r="L11" i="1"/>
  <c r="N11" i="1" s="1"/>
  <c r="L12" i="1"/>
  <c r="N12" i="1" s="1"/>
  <c r="L13" i="1"/>
  <c r="N13" i="1" s="1"/>
  <c r="L14" i="1"/>
  <c r="N14" i="1" s="1"/>
  <c r="L15" i="1"/>
  <c r="N15" i="1" s="1"/>
  <c r="L16" i="1"/>
  <c r="N16" i="1" s="1"/>
  <c r="L17" i="1"/>
  <c r="N17" i="1" s="1"/>
  <c r="L18" i="1"/>
  <c r="N18" i="1" s="1"/>
  <c r="L19" i="1"/>
  <c r="N19" i="1" s="1"/>
  <c r="L20" i="1"/>
  <c r="N20" i="1" s="1"/>
  <c r="L21" i="1"/>
  <c r="N21" i="1" s="1"/>
  <c r="L22" i="1"/>
  <c r="N22" i="1" s="1"/>
  <c r="L23" i="1"/>
  <c r="N23" i="1" s="1"/>
  <c r="L24" i="1"/>
  <c r="N24" i="1" s="1"/>
  <c r="L25" i="1"/>
  <c r="N25" i="1" s="1"/>
  <c r="L26" i="1"/>
  <c r="N26" i="1" s="1"/>
  <c r="L27" i="1"/>
  <c r="N27" i="1" s="1"/>
  <c r="L28" i="1"/>
  <c r="N28" i="1" s="1"/>
  <c r="L30" i="1"/>
  <c r="N30" i="1" s="1"/>
  <c r="L31" i="1"/>
  <c r="N31" i="1" s="1"/>
  <c r="L32" i="1"/>
  <c r="N32" i="1" s="1"/>
  <c r="L33" i="1"/>
  <c r="N33" i="1" s="1"/>
  <c r="L34" i="1"/>
  <c r="N34" i="1" s="1"/>
  <c r="L8" i="1"/>
  <c r="N8" i="1" s="1"/>
  <c r="N5" i="1" l="1"/>
  <c r="L5" i="1"/>
  <c r="K5" i="1"/>
  <c r="M5" i="1"/>
</calcChain>
</file>

<file path=xl/sharedStrings.xml><?xml version="1.0" encoding="utf-8"?>
<sst xmlns="http://schemas.openxmlformats.org/spreadsheetml/2006/main" count="166" uniqueCount="101">
  <si>
    <t>REFERENCIAS</t>
  </si>
  <si>
    <t>NO PAGADO EN QUINCENA</t>
  </si>
  <si>
    <t>VENCIDO</t>
  </si>
  <si>
    <t>VENCIDOS</t>
  </si>
  <si>
    <t>VENCEN HOY</t>
  </si>
  <si>
    <t>DE 1 A 3 DIAS</t>
  </si>
  <si>
    <t>AL DIA (+4 DIAS)</t>
  </si>
  <si>
    <t>DUDAS</t>
  </si>
  <si>
    <t>CON COBERTURA CHEQUEADO</t>
  </si>
  <si>
    <t>FECHA ACTUAL</t>
  </si>
  <si>
    <t>Apellido</t>
  </si>
  <si>
    <t>Nombre</t>
  </si>
  <si>
    <t>Compañia</t>
  </si>
  <si>
    <t>Patente</t>
  </si>
  <si>
    <t>Cuota</t>
  </si>
  <si>
    <t xml:space="preserve">Cobertura </t>
  </si>
  <si>
    <t>Ultimo pago</t>
  </si>
  <si>
    <t>Fecha Vencimiento</t>
  </si>
  <si>
    <t>Dias a Vencer</t>
  </si>
  <si>
    <t>Fecha Emision</t>
  </si>
  <si>
    <t>ALERTAS</t>
  </si>
  <si>
    <t>Primer Pago</t>
  </si>
  <si>
    <t>Precio Cuo</t>
  </si>
  <si>
    <t>Ganancia</t>
  </si>
  <si>
    <t xml:space="preserve">ACEVEDO </t>
  </si>
  <si>
    <t xml:space="preserve">Agrosalta </t>
  </si>
  <si>
    <t>DYO283</t>
  </si>
  <si>
    <t>A</t>
  </si>
  <si>
    <t>EUGENIO</t>
  </si>
  <si>
    <t>GEY623</t>
  </si>
  <si>
    <t>ANTONIO</t>
  </si>
  <si>
    <t>SGK267</t>
  </si>
  <si>
    <t>ACHAVAL</t>
  </si>
  <si>
    <t>LUIS GERARDO</t>
  </si>
  <si>
    <t>AGROSALTA</t>
  </si>
  <si>
    <t>GJI852</t>
  </si>
  <si>
    <t>ACOSTA</t>
  </si>
  <si>
    <t>FRANCISCO RAMON</t>
  </si>
  <si>
    <t>IXX440</t>
  </si>
  <si>
    <t>MARTIN JAVIER</t>
  </si>
  <si>
    <t>101RKG463</t>
  </si>
  <si>
    <t>BRAIAN LEONEL</t>
  </si>
  <si>
    <t>TPR380</t>
  </si>
  <si>
    <t>PABLO DANIEL</t>
  </si>
  <si>
    <t>VXA124</t>
  </si>
  <si>
    <t>ALEJANDRO GABRIEL</t>
  </si>
  <si>
    <t>SSH763</t>
  </si>
  <si>
    <t>RKG463</t>
  </si>
  <si>
    <t>EZEQUIEL OSCAR</t>
  </si>
  <si>
    <t>DZX238</t>
  </si>
  <si>
    <t>JUAN CARLOS</t>
  </si>
  <si>
    <t>CBD690</t>
  </si>
  <si>
    <t>RODOLFO GERMAN</t>
  </si>
  <si>
    <t>NDR084</t>
  </si>
  <si>
    <t>ACUÑA</t>
  </si>
  <si>
    <t>RAFAEL MERCEDES</t>
  </si>
  <si>
    <t>FXK706</t>
  </si>
  <si>
    <t>AGUAYO ARGOTE</t>
  </si>
  <si>
    <t>GERONIMO</t>
  </si>
  <si>
    <t>XEA374</t>
  </si>
  <si>
    <t>AGUERO</t>
  </si>
  <si>
    <t>MARIANO</t>
  </si>
  <si>
    <t>TKB149</t>
  </si>
  <si>
    <t>AGUIAR</t>
  </si>
  <si>
    <t>JORGE MARIANO</t>
  </si>
  <si>
    <t>TYY709</t>
  </si>
  <si>
    <t>se le rompio el auto</t>
  </si>
  <si>
    <t>AGUILAR</t>
  </si>
  <si>
    <t>ROMINA BEATRIZ</t>
  </si>
  <si>
    <t>ATM</t>
  </si>
  <si>
    <t>OGH975</t>
  </si>
  <si>
    <t>ROBO</t>
  </si>
  <si>
    <t>YAMILA ANAHI</t>
  </si>
  <si>
    <t>DIGNA</t>
  </si>
  <si>
    <t>FOK672</t>
  </si>
  <si>
    <t>B</t>
  </si>
  <si>
    <t>AGUIRRE</t>
  </si>
  <si>
    <t>LORENZO ESTEBAN</t>
  </si>
  <si>
    <t>GBY697</t>
  </si>
  <si>
    <t>JUAN JAVIER</t>
  </si>
  <si>
    <t>CJQ128</t>
  </si>
  <si>
    <t>PABLO NICOLAS</t>
  </si>
  <si>
    <t>KTI841</t>
  </si>
  <si>
    <t>AIELLO</t>
  </si>
  <si>
    <t>VICENTE ALBERTO</t>
  </si>
  <si>
    <t>AEP855</t>
  </si>
  <si>
    <t>ALBERTO VICENTE</t>
  </si>
  <si>
    <t>SNZ584</t>
  </si>
  <si>
    <t>SBQ415</t>
  </si>
  <si>
    <t>ALAMO</t>
  </si>
  <si>
    <t>NICOLAS BAUTISTA</t>
  </si>
  <si>
    <t>VRX791</t>
  </si>
  <si>
    <t>ALARCON</t>
  </si>
  <si>
    <t>JOSE ENRIQUE</t>
  </si>
  <si>
    <t>EVW990</t>
  </si>
  <si>
    <t>ALBARRACIN</t>
  </si>
  <si>
    <t>MARCELA FABIANA</t>
  </si>
  <si>
    <t>FLK561</t>
  </si>
  <si>
    <t>Telefono</t>
  </si>
  <si>
    <t>RODRIGUEZ</t>
  </si>
  <si>
    <t>JONATAN JOEL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</si>
</sst>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\ * #,##0.00_ ;_ &quot;$&quot;\ * \-#,##0.00_ ;_ &quot;$&quot;\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164" fontId="0" fillId="0" borderId="0" xfId="1" applyFont="1"/>
    <xf numFmtId="0" fontId="2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6" borderId="1" xfId="0" applyFill="1" applyBorder="1" applyAlignment="1">
      <alignment horizontal="center" vertical="center"/>
    </xf>
    <xf numFmtId="14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1" applyNumberFormat="1" applyFont="1"/>
    <xf numFmtId="0" fontId="4" fillId="0" borderId="0" xfId="0" applyFont="1"/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4" fontId="0" fillId="0" borderId="0" xfId="1" applyNumberFormat="1" applyFont="1"/>
    <xf numFmtId="14" fontId="0" fillId="0" borderId="0" xfId="1" applyNumberFormat="1" applyFont="1" applyAlignment="1">
      <alignment wrapText="1"/>
    </xf>
    <xf numFmtId="14" fontId="0" fillId="0" borderId="0" xfId="1" applyNumberFormat="1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</cellXfs>
  <cellStyles count="2">
    <cellStyle name="Moneda" xfId="1" builtinId="4"/>
    <cellStyle name="Normal" xfId="0" builtinId="0"/>
  </cellStyles>
  <dxfs count="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"/>
      <alignment horizontal="center" vertical="center" textRotation="0" wrapText="0" indent="0" justifyLastLine="0" shrinkToFit="0" readingOrder="0"/>
    </dxf>
    <dxf>
      <numFmt numFmtId="165" formatCode="dd/mm/yyyy"/>
      <alignment horizontal="center" vertical="center" textRotation="0" wrapText="0" indent="0" justifyLastLine="0" shrinkToFit="0" readingOrder="0"/>
    </dxf>
    <dxf>
      <numFmt numFmtId="19" formatCode="d/m/yyyy"/>
    </dxf>
    <dxf>
      <numFmt numFmtId="19" formatCode="d/m/yyyy"/>
    </dxf>
    <dxf>
      <numFmt numFmtId="165" formatCode="dd/mm/yyyy"/>
    </dxf>
    <dxf>
      <numFmt numFmtId="0" formatCode="General"/>
      <alignment horizontal="center" vertic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Ricardo Gomez Thames Estudio" id="{FD4D2656-9879-4365-84BA-FD6DC4C615FC}" userId="51e347e3fff6b34b" providerId="Windows Live"/>
  <person displayName="Franco David Gomez" id="{BEF27B12-01D0-4E5D-AF44-76F7DDA36258}" userId="5ba064fa4409edf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ES" displayName="CLIENTES" ref="C7:Q35" totalsRowShown="0">
  <autoFilter ref="C7:Q35" xr:uid="{00000000-0009-0000-0100-000001000000}"/>
  <sortState xmlns:xlrd2="http://schemas.microsoft.com/office/spreadsheetml/2017/richdata2" ref="C8:Q35">
    <sortCondition ref="C7:C35"/>
  </sortState>
  <tableColumns count="15">
    <tableColumn id="1" xr3:uid="{00000000-0010-0000-0000-000001000000}" name="Apellido"/>
    <tableColumn id="2" xr3:uid="{00000000-0010-0000-0000-000002000000}" name="Nombre"/>
    <tableColumn id="5" xr3:uid="{00000000-0010-0000-0000-000005000000}" name="Telefono" dataDxfId="14" totalsRowDxfId="13"/>
    <tableColumn id="13" xr3:uid="{00000000-0010-0000-0000-00000D000000}" name="Compañia"/>
    <tableColumn id="3" xr3:uid="{CDB0D3F4-B5A2-4677-9CC2-1F8DB06610E2}" name="Patente"/>
    <tableColumn id="6" xr3:uid="{891E73FD-6EA3-48A0-AFCD-52DA273135EC}" name="Cuota" dataDxfId="12" totalsRowDxfId="11"/>
    <tableColumn id="14" xr3:uid="{00000000-0010-0000-0000-00000E000000}" name="Cobertura " dataDxfId="10" totalsRowDxfId="9"/>
    <tableColumn id="15" xr3:uid="{00000000-0010-0000-0000-00000F000000}" name="Ultimo pago"/>
    <tableColumn id="23" xr3:uid="{00000000-0010-0000-0000-000017000000}" name="Fecha Vencimiento"/>
    <tableColumn id="26" xr3:uid="{5565ACC2-0873-47B4-94CE-8B7A67F496AB}" name="Dias a Vencer" dataDxfId="8" totalsRowDxfId="7">
      <calculatedColumnFormula>CLIENTES[[#This Row],[Fecha Vencimiento]]-$J$6</calculatedColumnFormula>
    </tableColumn>
    <tableColumn id="16" xr3:uid="{00000000-0010-0000-0000-000010000000}" name="Fecha Emision"/>
    <tableColumn id="12" xr3:uid="{5CE08857-1801-4BCA-836F-1EC41838F18D}" name="ALERTAS" dataDxfId="6" totalsRowDxfId="5">
      <calculatedColumnFormula>IF(L8&lt;0,"Vencido",IF(L8=0,"Vence hoy",IF(L8&lt;4,"Por vencer","Al dia")))</calculatedColumnFormula>
    </tableColumn>
    <tableColumn id="19" xr3:uid="{00000000-0010-0000-0000-000013000000}" name="Primer Pago" dataDxfId="4" totalsRowDxfId="3" dataCellStyle="Moneda"/>
    <tableColumn id="20" xr3:uid="{00000000-0010-0000-0000-000014000000}" name="Precio Cuo" totalsRowDxfId="2" dataCellStyle="Moneda"/>
    <tableColumn id="21" xr3:uid="{00000000-0010-0000-0000-000015000000}" name="Ganancia" dataDxfId="1" totalsRowDxfId="0" dataCellStyle="Moneda">
      <calculatedColumnFormula>P8-O8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69" dT="2024-08-24T14:06:19.42" personId="{FD4D2656-9879-4365-84BA-FD6DC4C615FC}" id="{399A79D3-1090-4649-981D-070E2EF78245}">
    <text>NO ESTA EN AGROSALTA, en espera de la baja de su antiguo seguro.</text>
  </threadedComment>
  <threadedComment ref="C474" dT="2024-08-30T21:49:21.72" personId="{BEF27B12-01D0-4E5D-AF44-76F7DDA36258}" id="{2B60538C-A2BE-4FA6-9B9A-BC0F4706A5C8}">
    <text>NO LO PAGA MAS</text>
  </threadedComment>
  <threadedComment ref="C474" dT="2024-08-30T21:49:51.01" personId="{BEF27B12-01D0-4E5D-AF44-76F7DDA36258}" id="{D4285EB1-718A-41D1-82A1-6459B3ABC573}" parentId="{2B60538C-A2BE-4FA6-9B9A-BC0F4706A5C8}">
    <text>DAR DE BAJA!!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35"/>
  <sheetViews>
    <sheetView tabSelected="1" topLeftCell="B1" zoomScaleNormal="100" workbookViewId="0">
      <selection activeCell="C6" sqref="C6"/>
    </sheetView>
  </sheetViews>
  <sheetFormatPr baseColWidth="10" defaultColWidth="11.453125" defaultRowHeight="14.5" x14ac:dyDescent="0.35"/>
  <cols>
    <col min="1" max="1" width="33.26953125" customWidth="1"/>
    <col min="2" max="2" width="10.26953125" customWidth="1"/>
    <col min="3" max="3" width="17.54296875" customWidth="1"/>
    <col min="4" max="4" width="21.26953125" customWidth="1"/>
    <col min="5" max="5" width="19.1796875" style="10" customWidth="1"/>
    <col min="6" max="6" width="14.26953125" customWidth="1"/>
    <col min="7" max="7" width="15" customWidth="1"/>
    <col min="8" max="8" width="13.26953125" style="14" customWidth="1"/>
    <col min="9" max="9" width="15" customWidth="1"/>
    <col min="10" max="10" width="16.1796875" customWidth="1"/>
    <col min="11" max="11" width="14.453125" customWidth="1"/>
    <col min="12" max="12" width="16" style="22" customWidth="1"/>
    <col min="13" max="13" width="14.26953125" customWidth="1"/>
    <col min="14" max="14" width="14.54296875" customWidth="1"/>
    <col min="15" max="15" width="13.54296875" style="1" customWidth="1"/>
    <col min="16" max="16" width="17.7265625" customWidth="1"/>
  </cols>
  <sheetData>
    <row r="1" spans="1:17" x14ac:dyDescent="0.35">
      <c r="D1">
        <v>2</v>
      </c>
      <c r="F1">
        <v>13</v>
      </c>
      <c r="I1">
        <v>14</v>
      </c>
      <c r="J1">
        <v>15</v>
      </c>
      <c r="K1">
        <v>16</v>
      </c>
      <c r="L1" s="22">
        <v>17</v>
      </c>
      <c r="M1">
        <v>18</v>
      </c>
      <c r="N1">
        <v>19</v>
      </c>
      <c r="O1" s="16">
        <v>22</v>
      </c>
      <c r="P1" s="11">
        <v>23</v>
      </c>
      <c r="Q1" s="11">
        <v>24</v>
      </c>
    </row>
    <row r="2" spans="1:17" x14ac:dyDescent="0.35">
      <c r="A2" t="s">
        <v>0</v>
      </c>
    </row>
    <row r="3" spans="1:17" x14ac:dyDescent="0.35">
      <c r="A3" s="4" t="s">
        <v>1</v>
      </c>
      <c r="L3" s="22">
        <v>44478</v>
      </c>
      <c r="M3">
        <f>N3-L3</f>
        <v>31</v>
      </c>
      <c r="N3" s="1">
        <v>44509</v>
      </c>
    </row>
    <row r="4" spans="1:17" ht="23.25" customHeight="1" x14ac:dyDescent="0.35">
      <c r="A4" s="5" t="s">
        <v>2</v>
      </c>
      <c r="K4" t="s">
        <v>3</v>
      </c>
      <c r="L4" s="22" t="s">
        <v>4</v>
      </c>
      <c r="M4" t="s">
        <v>5</v>
      </c>
      <c r="N4" s="2" t="s">
        <v>6</v>
      </c>
    </row>
    <row r="5" spans="1:17" ht="15.75" customHeight="1" thickBot="1" x14ac:dyDescent="0.4">
      <c r="A5" s="6" t="s">
        <v>7</v>
      </c>
      <c r="K5">
        <f ca="1">COUNTIF(CLIENTES[Dias a Vencer],"&lt;0")</f>
        <v>10</v>
      </c>
      <c r="L5" s="22">
        <f ca="1">COUNTIF(CLIENTES[Dias a Vencer],"=0")</f>
        <v>1</v>
      </c>
      <c r="M5">
        <f ca="1">COUNTIFS(CLIENTES[Dias a Vencer],"&gt;0",CLIENTES[Dias a Vencer],"&lt;4")</f>
        <v>0</v>
      </c>
      <c r="N5">
        <f ca="1">COUNTIF(CLIENTES[Dias a Vencer],"&gt;3")</f>
        <v>17</v>
      </c>
    </row>
    <row r="6" spans="1:17" ht="27" customHeight="1" thickBot="1" x14ac:dyDescent="0.4">
      <c r="A6" s="7" t="s">
        <v>8</v>
      </c>
      <c r="D6" s="19"/>
      <c r="E6" s="20"/>
      <c r="I6" s="8" t="s">
        <v>9</v>
      </c>
      <c r="J6" s="9">
        <f ca="1">TODAY()</f>
        <v>45581</v>
      </c>
      <c r="K6" s="12"/>
    </row>
    <row r="7" spans="1:17" x14ac:dyDescent="0.35">
      <c r="B7" s="3"/>
      <c r="C7" t="s">
        <v>10</v>
      </c>
      <c r="D7" t="s">
        <v>11</v>
      </c>
      <c r="E7" s="21" t="s">
        <v>98</v>
      </c>
      <c r="F7" t="s">
        <v>12</v>
      </c>
      <c r="G7" t="s">
        <v>13</v>
      </c>
      <c r="H7" s="15" t="s">
        <v>14</v>
      </c>
      <c r="I7" t="s">
        <v>15</v>
      </c>
      <c r="J7" t="s">
        <v>16</v>
      </c>
      <c r="K7" t="s">
        <v>17</v>
      </c>
      <c r="L7" s="23" t="s">
        <v>18</v>
      </c>
      <c r="M7" t="s">
        <v>19</v>
      </c>
      <c r="N7" s="10" t="s">
        <v>20</v>
      </c>
      <c r="O7" s="17" t="s">
        <v>21</v>
      </c>
      <c r="P7" s="2" t="s">
        <v>22</v>
      </c>
      <c r="Q7" s="2" t="s">
        <v>23</v>
      </c>
    </row>
    <row r="8" spans="1:17" x14ac:dyDescent="0.35">
      <c r="C8" t="s">
        <v>99</v>
      </c>
      <c r="D8" s="3" t="s">
        <v>100</v>
      </c>
      <c r="E8" s="10">
        <v>1123901151</v>
      </c>
      <c r="F8" t="s">
        <v>25</v>
      </c>
      <c r="G8" t="s">
        <v>26</v>
      </c>
      <c r="H8" s="14">
        <v>2</v>
      </c>
      <c r="I8" s="10" t="s">
        <v>27</v>
      </c>
      <c r="J8" s="1">
        <v>45559</v>
      </c>
      <c r="K8" s="1">
        <v>45589</v>
      </c>
      <c r="L8" s="22">
        <f ca="1">CLIENTES[[#This Row],[Fecha Vencimiento]]-$J$6</f>
        <v>8</v>
      </c>
      <c r="M8" s="1"/>
      <c r="N8" s="1" t="str">
        <f t="shared" ref="N8:N35" ca="1" si="0">IF(L8&lt;0,"Vencido",IF(L8=0,"Vence hoy",IF(L8&lt;4,"Por vencer","Al dia")))</f>
        <v>Al dia</v>
      </c>
      <c r="O8" s="18">
        <v>45528</v>
      </c>
      <c r="P8" s="2"/>
      <c r="Q8" s="2">
        <f t="shared" ref="Q8:Q35" si="1">P8-O8</f>
        <v>-45528</v>
      </c>
    </row>
    <row r="9" spans="1:17" x14ac:dyDescent="0.35">
      <c r="B9" s="3"/>
      <c r="C9" s="13" t="s">
        <v>24</v>
      </c>
      <c r="D9" s="13" t="s">
        <v>28</v>
      </c>
      <c r="F9" t="s">
        <v>25</v>
      </c>
      <c r="G9" t="s">
        <v>29</v>
      </c>
      <c r="H9" s="14">
        <v>2</v>
      </c>
      <c r="I9" s="10" t="s">
        <v>27</v>
      </c>
      <c r="J9" s="1">
        <v>45545</v>
      </c>
      <c r="K9" s="1">
        <v>45575</v>
      </c>
      <c r="L9" s="22">
        <f ca="1">CLIENTES[[#This Row],[Fecha Vencimiento]]-$J$6</f>
        <v>-6</v>
      </c>
      <c r="N9" s="1" t="str">
        <f t="shared" ca="1" si="0"/>
        <v>Vencido</v>
      </c>
      <c r="O9" s="18"/>
      <c r="P9" s="2"/>
      <c r="Q9" s="2">
        <f t="shared" si="1"/>
        <v>0</v>
      </c>
    </row>
    <row r="10" spans="1:17" x14ac:dyDescent="0.35">
      <c r="B10" s="3"/>
      <c r="C10" s="13" t="s">
        <v>24</v>
      </c>
      <c r="D10" s="13" t="s">
        <v>30</v>
      </c>
      <c r="F10" t="s">
        <v>25</v>
      </c>
      <c r="G10" t="s">
        <v>31</v>
      </c>
      <c r="H10" s="14">
        <v>1</v>
      </c>
      <c r="I10" s="10" t="s">
        <v>27</v>
      </c>
      <c r="J10" s="1">
        <v>45570</v>
      </c>
      <c r="K10" s="1">
        <v>45601</v>
      </c>
      <c r="L10" s="22">
        <f ca="1">CLIENTES[[#This Row],[Fecha Vencimiento]]-$J$6</f>
        <v>20</v>
      </c>
      <c r="N10" s="1" t="str">
        <f t="shared" ca="1" si="0"/>
        <v>Al dia</v>
      </c>
      <c r="O10" s="18">
        <v>45570</v>
      </c>
      <c r="P10" s="2"/>
      <c r="Q10" s="2">
        <f t="shared" si="1"/>
        <v>-45570</v>
      </c>
    </row>
    <row r="11" spans="1:17" x14ac:dyDescent="0.35">
      <c r="B11" s="3"/>
      <c r="C11" t="s">
        <v>32</v>
      </c>
      <c r="D11" s="3" t="s">
        <v>33</v>
      </c>
      <c r="F11" t="s">
        <v>34</v>
      </c>
      <c r="G11" t="s">
        <v>35</v>
      </c>
      <c r="H11" s="14">
        <v>3</v>
      </c>
      <c r="I11" s="10" t="s">
        <v>27</v>
      </c>
      <c r="J11" s="1">
        <v>45579</v>
      </c>
      <c r="K11" s="1">
        <v>45611</v>
      </c>
      <c r="L11" s="22">
        <f ca="1">CLIENTES[[#This Row],[Fecha Vencimiento]]-$J$6</f>
        <v>30</v>
      </c>
      <c r="M11" s="1"/>
      <c r="N11" s="1" t="str">
        <f t="shared" ca="1" si="0"/>
        <v>Al dia</v>
      </c>
      <c r="O11" s="18"/>
      <c r="P11" s="2"/>
      <c r="Q11" s="2">
        <f t="shared" si="1"/>
        <v>0</v>
      </c>
    </row>
    <row r="12" spans="1:17" x14ac:dyDescent="0.35">
      <c r="B12" s="3"/>
      <c r="C12" s="13" t="s">
        <v>36</v>
      </c>
      <c r="D12" s="13" t="s">
        <v>37</v>
      </c>
      <c r="F12" t="s">
        <v>25</v>
      </c>
      <c r="G12" t="s">
        <v>38</v>
      </c>
      <c r="H12" s="14">
        <v>1</v>
      </c>
      <c r="I12" s="10" t="s">
        <v>27</v>
      </c>
      <c r="J12" s="1">
        <v>45562</v>
      </c>
      <c r="K12" s="1">
        <v>45592</v>
      </c>
      <c r="L12" s="22">
        <f ca="1">CLIENTES[[#This Row],[Fecha Vencimiento]]-$J$6</f>
        <v>11</v>
      </c>
      <c r="N12" s="1" t="str">
        <f t="shared" ca="1" si="0"/>
        <v>Al dia</v>
      </c>
      <c r="O12" s="18"/>
      <c r="P12" s="2"/>
      <c r="Q12" s="2">
        <f t="shared" si="1"/>
        <v>0</v>
      </c>
    </row>
    <row r="13" spans="1:17" x14ac:dyDescent="0.35">
      <c r="B13" s="3"/>
      <c r="C13" s="13" t="s">
        <v>36</v>
      </c>
      <c r="D13" s="13" t="s">
        <v>39</v>
      </c>
      <c r="F13" t="s">
        <v>25</v>
      </c>
      <c r="G13" t="s">
        <v>40</v>
      </c>
      <c r="H13" s="14">
        <v>2</v>
      </c>
      <c r="I13" s="10" t="s">
        <v>27</v>
      </c>
      <c r="J13" s="1">
        <v>45568</v>
      </c>
      <c r="K13" s="1">
        <v>45603</v>
      </c>
      <c r="L13" s="22">
        <f ca="1">CLIENTES[[#This Row],[Fecha Vencimiento]]-$J$6</f>
        <v>22</v>
      </c>
      <c r="N13" s="1" t="str">
        <f t="shared" ca="1" si="0"/>
        <v>Al dia</v>
      </c>
      <c r="O13" s="18">
        <v>45542</v>
      </c>
      <c r="P13" s="2"/>
      <c r="Q13" s="2">
        <f t="shared" si="1"/>
        <v>-45542</v>
      </c>
    </row>
    <row r="14" spans="1:17" x14ac:dyDescent="0.35">
      <c r="B14" s="3"/>
      <c r="C14" s="13" t="s">
        <v>36</v>
      </c>
      <c r="D14" s="13" t="s">
        <v>41</v>
      </c>
      <c r="F14" t="s">
        <v>25</v>
      </c>
      <c r="G14" t="s">
        <v>42</v>
      </c>
      <c r="I14" s="10" t="s">
        <v>27</v>
      </c>
      <c r="J14" s="1">
        <v>45458</v>
      </c>
      <c r="K14" s="1">
        <v>45488</v>
      </c>
      <c r="L14" s="22">
        <f ca="1">CLIENTES[[#This Row],[Fecha Vencimiento]]-$J$6</f>
        <v>-93</v>
      </c>
      <c r="N14" s="1" t="str">
        <f t="shared" ca="1" si="0"/>
        <v>Vencido</v>
      </c>
      <c r="O14" s="18"/>
      <c r="P14" s="2"/>
      <c r="Q14" s="2">
        <f t="shared" si="1"/>
        <v>0</v>
      </c>
    </row>
    <row r="15" spans="1:17" x14ac:dyDescent="0.35">
      <c r="B15" s="3"/>
      <c r="C15" s="13" t="s">
        <v>36</v>
      </c>
      <c r="D15" s="13" t="s">
        <v>43</v>
      </c>
      <c r="F15" t="s">
        <v>25</v>
      </c>
      <c r="G15" t="s">
        <v>44</v>
      </c>
      <c r="H15" s="14">
        <v>5</v>
      </c>
      <c r="I15" s="10" t="s">
        <v>27</v>
      </c>
      <c r="J15" s="1">
        <v>45565</v>
      </c>
      <c r="K15" s="1">
        <v>45595</v>
      </c>
      <c r="L15" s="22">
        <f ca="1">CLIENTES[[#This Row],[Fecha Vencimiento]]-$J$6</f>
        <v>14</v>
      </c>
      <c r="N15" s="1" t="str">
        <f t="shared" ca="1" si="0"/>
        <v>Al dia</v>
      </c>
      <c r="O15" s="18"/>
      <c r="P15" s="2"/>
      <c r="Q15" s="2">
        <f t="shared" si="1"/>
        <v>0</v>
      </c>
    </row>
    <row r="16" spans="1:17" x14ac:dyDescent="0.35">
      <c r="B16" s="3"/>
      <c r="C16" s="13" t="s">
        <v>36</v>
      </c>
      <c r="D16" s="13" t="s">
        <v>45</v>
      </c>
      <c r="F16" t="s">
        <v>25</v>
      </c>
      <c r="G16" t="s">
        <v>46</v>
      </c>
      <c r="H16" s="14">
        <v>4</v>
      </c>
      <c r="I16" s="10" t="s">
        <v>27</v>
      </c>
      <c r="J16" s="1">
        <v>45540</v>
      </c>
      <c r="K16" s="1">
        <v>45570</v>
      </c>
      <c r="L16" s="22">
        <f ca="1">CLIENTES[[#This Row],[Fecha Vencimiento]]-$J$6</f>
        <v>-11</v>
      </c>
      <c r="N16" s="1" t="str">
        <f t="shared" ca="1" si="0"/>
        <v>Vencido</v>
      </c>
      <c r="O16" s="18"/>
      <c r="P16" s="2"/>
      <c r="Q16" s="2">
        <f t="shared" si="1"/>
        <v>0</v>
      </c>
    </row>
    <row r="17" spans="2:17" x14ac:dyDescent="0.35">
      <c r="B17" s="3"/>
      <c r="C17" s="13" t="s">
        <v>36</v>
      </c>
      <c r="D17" s="13" t="s">
        <v>39</v>
      </c>
      <c r="F17" t="s">
        <v>25</v>
      </c>
      <c r="G17" t="s">
        <v>47</v>
      </c>
      <c r="H17" s="14">
        <v>5</v>
      </c>
      <c r="I17" s="10" t="s">
        <v>27</v>
      </c>
      <c r="J17" s="1">
        <v>45568</v>
      </c>
      <c r="K17" s="1">
        <v>45599</v>
      </c>
      <c r="L17" s="22">
        <f ca="1">CLIENTES[[#This Row],[Fecha Vencimiento]]-$J$6</f>
        <v>18</v>
      </c>
      <c r="N17" s="1" t="str">
        <f t="shared" ca="1" si="0"/>
        <v>Al dia</v>
      </c>
      <c r="O17" s="18"/>
      <c r="P17" s="2"/>
      <c r="Q17" s="2">
        <f t="shared" si="1"/>
        <v>0</v>
      </c>
    </row>
    <row r="18" spans="2:17" x14ac:dyDescent="0.35">
      <c r="B18" s="3"/>
      <c r="C18" s="13" t="s">
        <v>36</v>
      </c>
      <c r="D18" s="13" t="s">
        <v>48</v>
      </c>
      <c r="F18" t="s">
        <v>25</v>
      </c>
      <c r="G18" t="s">
        <v>49</v>
      </c>
      <c r="H18" s="14">
        <v>5</v>
      </c>
      <c r="I18" s="10" t="s">
        <v>27</v>
      </c>
      <c r="J18" s="1">
        <v>45569</v>
      </c>
      <c r="K18" s="1">
        <v>45597</v>
      </c>
      <c r="L18" s="22">
        <f ca="1">CLIENTES[[#This Row],[Fecha Vencimiento]]-$J$6</f>
        <v>16</v>
      </c>
      <c r="N18" s="1" t="str">
        <f t="shared" ca="1" si="0"/>
        <v>Al dia</v>
      </c>
      <c r="O18" s="18"/>
      <c r="P18" s="2"/>
      <c r="Q18" s="2">
        <f t="shared" si="1"/>
        <v>0</v>
      </c>
    </row>
    <row r="19" spans="2:17" x14ac:dyDescent="0.35">
      <c r="B19" s="3"/>
      <c r="C19" s="13" t="s">
        <v>36</v>
      </c>
      <c r="D19" s="13" t="s">
        <v>50</v>
      </c>
      <c r="F19" t="s">
        <v>25</v>
      </c>
      <c r="G19" t="s">
        <v>51</v>
      </c>
      <c r="H19" s="14">
        <v>5</v>
      </c>
      <c r="I19" s="10" t="s">
        <v>27</v>
      </c>
      <c r="J19" s="1">
        <v>45563</v>
      </c>
      <c r="K19" s="1">
        <v>45595</v>
      </c>
      <c r="L19" s="22">
        <f ca="1">CLIENTES[[#This Row],[Fecha Vencimiento]]-$J$6</f>
        <v>14</v>
      </c>
      <c r="N19" s="1" t="str">
        <f t="shared" ca="1" si="0"/>
        <v>Al dia</v>
      </c>
      <c r="O19" s="18"/>
      <c r="P19" s="2"/>
      <c r="Q19" s="2">
        <f t="shared" si="1"/>
        <v>0</v>
      </c>
    </row>
    <row r="20" spans="2:17" x14ac:dyDescent="0.35">
      <c r="B20" s="3"/>
      <c r="C20" s="13" t="s">
        <v>36</v>
      </c>
      <c r="D20" s="13" t="s">
        <v>52</v>
      </c>
      <c r="F20" t="s">
        <v>34</v>
      </c>
      <c r="G20" t="s">
        <v>53</v>
      </c>
      <c r="I20" s="10" t="s">
        <v>27</v>
      </c>
      <c r="J20" s="1">
        <v>45518</v>
      </c>
      <c r="K20" s="1">
        <v>45549</v>
      </c>
      <c r="L20" s="22">
        <f ca="1">CLIENTES[[#This Row],[Fecha Vencimiento]]-$J$6</f>
        <v>-32</v>
      </c>
      <c r="N20" s="1" t="str">
        <f t="shared" ca="1" si="0"/>
        <v>Vencido</v>
      </c>
      <c r="O20" s="18"/>
      <c r="P20" s="2"/>
      <c r="Q20" s="2">
        <f t="shared" si="1"/>
        <v>0</v>
      </c>
    </row>
    <row r="21" spans="2:17" x14ac:dyDescent="0.35">
      <c r="B21" s="3"/>
      <c r="C21" s="13" t="s">
        <v>54</v>
      </c>
      <c r="D21" s="13" t="s">
        <v>55</v>
      </c>
      <c r="F21" t="s">
        <v>25</v>
      </c>
      <c r="G21" t="s">
        <v>56</v>
      </c>
      <c r="H21" s="14">
        <v>5</v>
      </c>
      <c r="I21" s="10" t="s">
        <v>27</v>
      </c>
      <c r="J21" s="1">
        <v>45573</v>
      </c>
      <c r="K21" s="1">
        <v>45602</v>
      </c>
      <c r="L21" s="22">
        <f ca="1">CLIENTES[[#This Row],[Fecha Vencimiento]]-$J$6</f>
        <v>21</v>
      </c>
      <c r="N21" s="1" t="str">
        <f t="shared" ca="1" si="0"/>
        <v>Al dia</v>
      </c>
      <c r="O21" s="18"/>
      <c r="P21" s="2"/>
      <c r="Q21" s="2">
        <f t="shared" si="1"/>
        <v>0</v>
      </c>
    </row>
    <row r="22" spans="2:17" x14ac:dyDescent="0.35">
      <c r="B22" s="3"/>
      <c r="C22" s="13" t="s">
        <v>57</v>
      </c>
      <c r="D22" s="13" t="s">
        <v>58</v>
      </c>
      <c r="F22" t="s">
        <v>25</v>
      </c>
      <c r="G22" t="s">
        <v>59</v>
      </c>
      <c r="H22" s="14">
        <v>5</v>
      </c>
      <c r="I22" s="10" t="s">
        <v>27</v>
      </c>
      <c r="J22" s="1">
        <v>45548</v>
      </c>
      <c r="K22" s="1">
        <v>45581</v>
      </c>
      <c r="L22" s="22">
        <f ca="1">CLIENTES[[#This Row],[Fecha Vencimiento]]-$J$6</f>
        <v>0</v>
      </c>
      <c r="N22" s="1" t="str">
        <f t="shared" ca="1" si="0"/>
        <v>Vence hoy</v>
      </c>
      <c r="O22" s="18"/>
      <c r="P22" s="2"/>
      <c r="Q22" s="2">
        <f t="shared" si="1"/>
        <v>0</v>
      </c>
    </row>
    <row r="23" spans="2:17" x14ac:dyDescent="0.35">
      <c r="B23" s="3"/>
      <c r="C23" t="s">
        <v>60</v>
      </c>
      <c r="D23" t="s">
        <v>61</v>
      </c>
      <c r="F23" t="s">
        <v>25</v>
      </c>
      <c r="G23" t="s">
        <v>62</v>
      </c>
      <c r="H23" s="14">
        <v>1</v>
      </c>
      <c r="I23" s="10" t="s">
        <v>27</v>
      </c>
      <c r="J23" s="1">
        <v>45532</v>
      </c>
      <c r="K23" s="1">
        <v>45563</v>
      </c>
      <c r="L23" s="22">
        <f ca="1">CLIENTES[[#This Row],[Fecha Vencimiento]]-$J$6</f>
        <v>-18</v>
      </c>
      <c r="N23" s="1" t="str">
        <f t="shared" ca="1" si="0"/>
        <v>Vencido</v>
      </c>
      <c r="O23" s="18">
        <v>45532</v>
      </c>
      <c r="P23" s="2"/>
      <c r="Q23" s="2">
        <f t="shared" si="1"/>
        <v>-45532</v>
      </c>
    </row>
    <row r="24" spans="2:17" x14ac:dyDescent="0.35">
      <c r="C24" s="13" t="s">
        <v>63</v>
      </c>
      <c r="D24" s="13" t="s">
        <v>64</v>
      </c>
      <c r="F24" t="s">
        <v>25</v>
      </c>
      <c r="G24" t="s">
        <v>65</v>
      </c>
      <c r="H24" s="14" t="s">
        <v>66</v>
      </c>
      <c r="I24" s="10" t="s">
        <v>27</v>
      </c>
      <c r="J24" s="1">
        <v>45520</v>
      </c>
      <c r="K24" s="1">
        <v>45552</v>
      </c>
      <c r="L24" s="22">
        <f ca="1">CLIENTES[[#This Row],[Fecha Vencimiento]]-$J$6</f>
        <v>-29</v>
      </c>
      <c r="N24" s="1" t="str">
        <f t="shared" ca="1" si="0"/>
        <v>Vencido</v>
      </c>
      <c r="O24" s="18"/>
      <c r="P24" s="2"/>
      <c r="Q24" s="2">
        <f t="shared" si="1"/>
        <v>0</v>
      </c>
    </row>
    <row r="25" spans="2:17" x14ac:dyDescent="0.35">
      <c r="C25" s="13" t="s">
        <v>67</v>
      </c>
      <c r="D25" s="13" t="s">
        <v>68</v>
      </c>
      <c r="F25" t="s">
        <v>69</v>
      </c>
      <c r="G25" t="s">
        <v>70</v>
      </c>
      <c r="H25" s="14">
        <v>5</v>
      </c>
      <c r="I25" s="10" t="s">
        <v>71</v>
      </c>
      <c r="J25" s="1">
        <v>45569</v>
      </c>
      <c r="K25" s="1">
        <v>45597</v>
      </c>
      <c r="L25" s="22">
        <f ca="1">CLIENTES[[#This Row],[Fecha Vencimiento]]-$J$6</f>
        <v>16</v>
      </c>
      <c r="N25" s="1" t="str">
        <f t="shared" ca="1" si="0"/>
        <v>Al dia</v>
      </c>
      <c r="O25" s="18"/>
      <c r="P25" s="2"/>
      <c r="Q25" s="2">
        <f t="shared" si="1"/>
        <v>0</v>
      </c>
    </row>
    <row r="26" spans="2:17" x14ac:dyDescent="0.35">
      <c r="C26" s="13" t="s">
        <v>67</v>
      </c>
      <c r="D26" s="13" t="s">
        <v>72</v>
      </c>
      <c r="F26" t="s">
        <v>73</v>
      </c>
      <c r="G26" t="s">
        <v>74</v>
      </c>
      <c r="H26" s="14">
        <v>2</v>
      </c>
      <c r="I26" s="10" t="s">
        <v>75</v>
      </c>
      <c r="J26" s="1">
        <v>45561</v>
      </c>
      <c r="K26" s="1">
        <v>45591</v>
      </c>
      <c r="L26" s="22">
        <f ca="1">CLIENTES[[#This Row],[Fecha Vencimiento]]-$J$6</f>
        <v>10</v>
      </c>
      <c r="N26" s="1" t="str">
        <f t="shared" ca="1" si="0"/>
        <v>Al dia</v>
      </c>
      <c r="O26" s="18"/>
      <c r="P26" s="2"/>
      <c r="Q26" s="2">
        <f t="shared" si="1"/>
        <v>0</v>
      </c>
    </row>
    <row r="27" spans="2:17" x14ac:dyDescent="0.35">
      <c r="C27" s="13" t="s">
        <v>76</v>
      </c>
      <c r="D27" s="13" t="s">
        <v>77</v>
      </c>
      <c r="F27" t="s">
        <v>25</v>
      </c>
      <c r="G27" t="s">
        <v>78</v>
      </c>
      <c r="H27" s="14">
        <v>2</v>
      </c>
      <c r="I27" s="10" t="s">
        <v>27</v>
      </c>
      <c r="J27" s="1">
        <v>45569</v>
      </c>
      <c r="K27" s="1">
        <v>45600</v>
      </c>
      <c r="L27" s="22">
        <f ca="1">CLIENTES[[#This Row],[Fecha Vencimiento]]-$J$6</f>
        <v>19</v>
      </c>
      <c r="N27" s="1" t="str">
        <f t="shared" ca="1" si="0"/>
        <v>Al dia</v>
      </c>
      <c r="O27" s="18">
        <v>45539</v>
      </c>
      <c r="P27" s="2"/>
      <c r="Q27" s="2">
        <f t="shared" si="1"/>
        <v>-45539</v>
      </c>
    </row>
    <row r="28" spans="2:17" x14ac:dyDescent="0.35">
      <c r="C28" s="13" t="s">
        <v>76</v>
      </c>
      <c r="D28" s="13" t="s">
        <v>79</v>
      </c>
      <c r="F28" t="s">
        <v>25</v>
      </c>
      <c r="G28" t="s">
        <v>80</v>
      </c>
      <c r="H28" s="14">
        <v>4</v>
      </c>
      <c r="I28" s="10" t="s">
        <v>27</v>
      </c>
      <c r="J28" s="1">
        <v>45575</v>
      </c>
      <c r="K28" s="1">
        <v>45618</v>
      </c>
      <c r="L28" s="22">
        <f ca="1">CLIENTES[[#This Row],[Fecha Vencimiento]]-$J$6</f>
        <v>37</v>
      </c>
      <c r="N28" s="1" t="str">
        <f t="shared" ca="1" si="0"/>
        <v>Al dia</v>
      </c>
      <c r="O28" s="18"/>
      <c r="P28" s="2"/>
      <c r="Q28" s="2">
        <f t="shared" si="1"/>
        <v>0</v>
      </c>
    </row>
    <row r="29" spans="2:17" x14ac:dyDescent="0.35">
      <c r="C29" s="13" t="s">
        <v>76</v>
      </c>
      <c r="D29" s="13" t="s">
        <v>81</v>
      </c>
      <c r="F29" t="s">
        <v>25</v>
      </c>
      <c r="G29" t="s">
        <v>82</v>
      </c>
      <c r="H29" s="14">
        <v>1</v>
      </c>
      <c r="I29" s="10" t="s">
        <v>27</v>
      </c>
      <c r="J29" s="1">
        <v>45569</v>
      </c>
      <c r="K29" s="1">
        <v>45600</v>
      </c>
      <c r="L29" s="22">
        <f ca="1">CLIENTES[[#This Row],[Fecha Vencimiento]]-$J$6</f>
        <v>19</v>
      </c>
      <c r="N29" s="1" t="str">
        <f t="shared" ca="1" si="0"/>
        <v>Al dia</v>
      </c>
      <c r="O29" s="18">
        <v>45569</v>
      </c>
      <c r="P29" s="2"/>
      <c r="Q29" s="2">
        <f t="shared" si="1"/>
        <v>-45569</v>
      </c>
    </row>
    <row r="30" spans="2:17" x14ac:dyDescent="0.35">
      <c r="C30" t="s">
        <v>83</v>
      </c>
      <c r="D30" s="3" t="s">
        <v>84</v>
      </c>
      <c r="F30" t="s">
        <v>25</v>
      </c>
      <c r="G30" t="s">
        <v>85</v>
      </c>
      <c r="I30" s="10" t="s">
        <v>27</v>
      </c>
      <c r="J30" s="1">
        <v>45502</v>
      </c>
      <c r="K30" s="1">
        <v>45522</v>
      </c>
      <c r="L30" s="22">
        <f ca="1">CLIENTES[[#This Row],[Fecha Vencimiento]]-$J$6</f>
        <v>-59</v>
      </c>
      <c r="M30" s="1"/>
      <c r="N30" s="1" t="str">
        <f t="shared" ca="1" si="0"/>
        <v>Vencido</v>
      </c>
      <c r="O30" s="18"/>
      <c r="P30" s="2"/>
      <c r="Q30" s="2">
        <f t="shared" si="1"/>
        <v>0</v>
      </c>
    </row>
    <row r="31" spans="2:17" x14ac:dyDescent="0.35">
      <c r="C31" s="13" t="s">
        <v>83</v>
      </c>
      <c r="D31" s="13" t="s">
        <v>86</v>
      </c>
      <c r="F31" t="s">
        <v>25</v>
      </c>
      <c r="G31" t="s">
        <v>87</v>
      </c>
      <c r="I31" s="10" t="s">
        <v>27</v>
      </c>
      <c r="J31" s="1">
        <v>45484</v>
      </c>
      <c r="K31" s="1">
        <v>45515</v>
      </c>
      <c r="L31" s="22">
        <f ca="1">CLIENTES[[#This Row],[Fecha Vencimiento]]-$J$6</f>
        <v>-66</v>
      </c>
      <c r="N31" s="1" t="str">
        <f t="shared" ca="1" si="0"/>
        <v>Vencido</v>
      </c>
      <c r="O31" s="18"/>
      <c r="P31" s="2"/>
      <c r="Q31" s="2">
        <f t="shared" si="1"/>
        <v>0</v>
      </c>
    </row>
    <row r="32" spans="2:17" x14ac:dyDescent="0.35">
      <c r="C32" s="13" t="s">
        <v>83</v>
      </c>
      <c r="D32" s="13" t="s">
        <v>86</v>
      </c>
      <c r="F32" t="s">
        <v>25</v>
      </c>
      <c r="G32" t="s">
        <v>88</v>
      </c>
      <c r="I32" s="10" t="s">
        <v>27</v>
      </c>
      <c r="J32" s="1">
        <v>45469</v>
      </c>
      <c r="K32" s="1">
        <v>45495</v>
      </c>
      <c r="L32" s="22">
        <f ca="1">CLIENTES[[#This Row],[Fecha Vencimiento]]-$J$6</f>
        <v>-86</v>
      </c>
      <c r="N32" s="1" t="str">
        <f t="shared" ca="1" si="0"/>
        <v>Vencido</v>
      </c>
      <c r="O32" s="18"/>
      <c r="P32" s="2"/>
      <c r="Q32" s="2">
        <f t="shared" si="1"/>
        <v>0</v>
      </c>
    </row>
    <row r="33" spans="3:17" x14ac:dyDescent="0.35">
      <c r="C33" s="13" t="s">
        <v>89</v>
      </c>
      <c r="D33" s="13" t="s">
        <v>90</v>
      </c>
      <c r="F33" t="s">
        <v>34</v>
      </c>
      <c r="G33" t="s">
        <v>91</v>
      </c>
      <c r="H33" s="14">
        <v>4</v>
      </c>
      <c r="I33" s="10" t="s">
        <v>27</v>
      </c>
      <c r="J33" s="1">
        <v>45568</v>
      </c>
      <c r="K33" s="1">
        <v>45599</v>
      </c>
      <c r="L33" s="22">
        <f ca="1">CLIENTES[[#This Row],[Fecha Vencimiento]]-$J$6</f>
        <v>18</v>
      </c>
      <c r="N33" s="1" t="str">
        <f t="shared" ca="1" si="0"/>
        <v>Al dia</v>
      </c>
      <c r="O33" s="18"/>
      <c r="P33" s="2"/>
      <c r="Q33" s="2">
        <f t="shared" si="1"/>
        <v>0</v>
      </c>
    </row>
    <row r="34" spans="3:17" x14ac:dyDescent="0.35">
      <c r="C34" s="13" t="s">
        <v>92</v>
      </c>
      <c r="D34" s="13" t="s">
        <v>93</v>
      </c>
      <c r="F34" t="s">
        <v>25</v>
      </c>
      <c r="G34" t="s">
        <v>94</v>
      </c>
      <c r="H34" s="14">
        <v>2</v>
      </c>
      <c r="I34" s="10" t="s">
        <v>27</v>
      </c>
      <c r="J34" s="1">
        <v>45570</v>
      </c>
      <c r="K34" s="1">
        <v>45580</v>
      </c>
      <c r="L34" s="22">
        <f ca="1">CLIENTES[[#This Row],[Fecha Vencimiento]]-$J$6</f>
        <v>-1</v>
      </c>
      <c r="N34" s="1" t="str">
        <f t="shared" ca="1" si="0"/>
        <v>Vencido</v>
      </c>
      <c r="O34" s="18"/>
      <c r="P34" s="2"/>
      <c r="Q34" s="2">
        <f t="shared" si="1"/>
        <v>0</v>
      </c>
    </row>
    <row r="35" spans="3:17" x14ac:dyDescent="0.35">
      <c r="C35" s="13" t="s">
        <v>95</v>
      </c>
      <c r="D35" s="13" t="s">
        <v>96</v>
      </c>
      <c r="F35" t="s">
        <v>25</v>
      </c>
      <c r="G35" t="s">
        <v>97</v>
      </c>
      <c r="H35" s="14">
        <v>1</v>
      </c>
      <c r="I35" s="10" t="s">
        <v>27</v>
      </c>
      <c r="J35" s="1">
        <v>45567</v>
      </c>
      <c r="K35" s="1">
        <v>45598</v>
      </c>
      <c r="L35" s="22">
        <f ca="1">CLIENTES[[#This Row],[Fecha Vencimiento]]-$J$6</f>
        <v>17</v>
      </c>
      <c r="N35" s="1" t="str">
        <f t="shared" ca="1" si="0"/>
        <v>Al dia</v>
      </c>
      <c r="O35" s="18">
        <v>45567</v>
      </c>
      <c r="P35" s="2"/>
      <c r="Q35" s="2">
        <f t="shared" si="1"/>
        <v>-45567</v>
      </c>
    </row>
  </sheetData>
  <sheetProtection formatCells="0" formatColumns="0" formatRows="0" deleteColumns="0"/>
  <phoneticPr fontId="3" type="noConversion"/>
  <conditionalFormatting sqref="M24:Q32 C24:K32">
    <cfRule type="expression" dxfId="82" priority="776685">
      <formula>AND($L24&gt;0,$L24&lt;4)</formula>
    </cfRule>
    <cfRule type="expression" dxfId="81" priority="776686">
      <formula>$L24&lt;0</formula>
    </cfRule>
    <cfRule type="expression" dxfId="80" priority="776687">
      <formula>$L24=0</formula>
    </cfRule>
    <cfRule type="expression" dxfId="79" priority="776688">
      <formula>#REF!&gt;=4</formula>
    </cfRule>
  </conditionalFormatting>
  <conditionalFormatting sqref="M19:Q19 C21">
    <cfRule type="expression" dxfId="78" priority="776829">
      <formula>AND($L19&gt;0,$L19&lt;4)</formula>
    </cfRule>
    <cfRule type="expression" dxfId="77" priority="776830">
      <formula>$L19&lt;0</formula>
    </cfRule>
    <cfRule type="expression" dxfId="76" priority="776831">
      <formula>$L19=0</formula>
    </cfRule>
    <cfRule type="expression" dxfId="75" priority="776832">
      <formula>$L8:$L$18&gt;=4</formula>
    </cfRule>
  </conditionalFormatting>
  <conditionalFormatting sqref="C8:Q8 C9:K9 M9:Q9 L9:L11">
    <cfRule type="expression" dxfId="74" priority="781501">
      <formula>AND($L8&gt;0,$L8&lt;4)</formula>
    </cfRule>
    <cfRule type="expression" dxfId="73" priority="781502">
      <formula>$L8&lt;0</formula>
    </cfRule>
    <cfRule type="expression" dxfId="72" priority="781503">
      <formula>$L8=0</formula>
    </cfRule>
    <cfRule type="expression" dxfId="71" priority="781504">
      <formula>$L7:$L$8&gt;=4</formula>
    </cfRule>
  </conditionalFormatting>
  <conditionalFormatting sqref="F13:K13 C12:K12 C13:D13 M12:Q13">
    <cfRule type="expression" dxfId="70" priority="891997">
      <formula>AND($L12&gt;0,$L12&lt;4)</formula>
    </cfRule>
    <cfRule type="expression" dxfId="69" priority="891998">
      <formula>$L12&lt;0</formula>
    </cfRule>
    <cfRule type="expression" dxfId="68" priority="891999">
      <formula>$L12=0</formula>
    </cfRule>
    <cfRule type="expression" dxfId="67" priority="892000">
      <formula>$L9:$L$10&gt;=4</formula>
    </cfRule>
  </conditionalFormatting>
  <conditionalFormatting sqref="E13 C14:K17 M14:Q17">
    <cfRule type="expression" dxfId="66" priority="1486101">
      <formula>AND($L13&gt;0,$L13&lt;4)</formula>
    </cfRule>
    <cfRule type="expression" dxfId="65" priority="1486102">
      <formula>$L13&lt;0</formula>
    </cfRule>
    <cfRule type="expression" dxfId="64" priority="1486103">
      <formula>$L13=0</formula>
    </cfRule>
    <cfRule type="expression" dxfId="63" priority="1486104">
      <formula>$L9:$L$10&gt;=4</formula>
    </cfRule>
  </conditionalFormatting>
  <conditionalFormatting sqref="C18:F18 H18:K18 C20:D20 F20:K20 M20:Q20 M18:Q18 F22:K22 C22:D22 M22:Q22">
    <cfRule type="expression" dxfId="62" priority="1676585">
      <formula>AND($L18&gt;0,$L18&lt;4)</formula>
    </cfRule>
    <cfRule type="expression" dxfId="61" priority="1676586">
      <formula>$L18&lt;0</formula>
    </cfRule>
    <cfRule type="expression" dxfId="60" priority="1676587">
      <formula>$L18=0</formula>
    </cfRule>
    <cfRule type="expression" dxfId="59" priority="1676588">
      <formula>$L8:$L$18&gt;=4</formula>
    </cfRule>
  </conditionalFormatting>
  <conditionalFormatting sqref="C19:K19">
    <cfRule type="expression" dxfId="58" priority="1680933">
      <formula>AND($L19&gt;0,$L19&lt;4)</formula>
    </cfRule>
    <cfRule type="expression" dxfId="57" priority="1680934">
      <formula>$L19&lt;0</formula>
    </cfRule>
    <cfRule type="expression" dxfId="56" priority="1680935">
      <formula>$L19=0</formula>
    </cfRule>
    <cfRule type="expression" dxfId="55" priority="1680936">
      <formula>$L8:$L$18&gt;=4</formula>
    </cfRule>
  </conditionalFormatting>
  <conditionalFormatting sqref="E17 E13">
    <cfRule type="expression" dxfId="54" priority="1681033">
      <formula>AND($L16&gt;0,$L16&lt;4)</formula>
    </cfRule>
    <cfRule type="expression" dxfId="53" priority="1681034">
      <formula>$L16&lt;0</formula>
    </cfRule>
    <cfRule type="expression" dxfId="52" priority="1681035">
      <formula>$L16=0</formula>
    </cfRule>
    <cfRule type="expression" dxfId="51" priority="1681036">
      <formula>$L6:$L$18&gt;=4</formula>
    </cfRule>
  </conditionalFormatting>
  <conditionalFormatting sqref="L12:L20 L22:L30">
    <cfRule type="expression" dxfId="50" priority="1851077">
      <formula>AND($L12&gt;0,$L12&lt;4)</formula>
    </cfRule>
    <cfRule type="expression" dxfId="49" priority="1851078">
      <formula>$L12&lt;0</formula>
    </cfRule>
    <cfRule type="expression" dxfId="48" priority="1851079">
      <formula>$L12=0</formula>
    </cfRule>
    <cfRule type="expression" dxfId="47" priority="1851080">
      <formula>$L$8:$L10&gt;=4</formula>
    </cfRule>
  </conditionalFormatting>
  <conditionalFormatting sqref="L31:L35">
    <cfRule type="expression" dxfId="46" priority="1865493">
      <formula>AND($L31&gt;0,$L31&lt;4)</formula>
    </cfRule>
    <cfRule type="expression" dxfId="45" priority="1865494">
      <formula>$L31&lt;0</formula>
    </cfRule>
    <cfRule type="expression" dxfId="44" priority="1865495">
      <formula>$L31=0</formula>
    </cfRule>
    <cfRule type="expression" dxfId="43" priority="1865496">
      <formula>$L$8:$L28&gt;=4</formula>
    </cfRule>
  </conditionalFormatting>
  <conditionalFormatting sqref="M10:Q11 C10:K11">
    <cfRule type="expression" dxfId="42" priority="2095981">
      <formula>AND($L10&gt;0,$L10&lt;4)</formula>
    </cfRule>
    <cfRule type="expression" dxfId="41" priority="2095982">
      <formula>$L10&lt;0</formula>
    </cfRule>
    <cfRule type="expression" dxfId="40" priority="2095983">
      <formula>$L10=0</formula>
    </cfRule>
    <cfRule type="expression" dxfId="39" priority="2095984">
      <formula>$L8:$L$10&gt;=4</formula>
    </cfRule>
  </conditionalFormatting>
  <conditionalFormatting sqref="C33:K33 M33:Q33">
    <cfRule type="expression" dxfId="38" priority="2126441">
      <formula>AND($L33&gt;0,$L33&lt;4)</formula>
    </cfRule>
    <cfRule type="expression" dxfId="37" priority="2126442">
      <formula>$L33&lt;0</formula>
    </cfRule>
    <cfRule type="expression" dxfId="36" priority="2126443">
      <formula>$L33=0</formula>
    </cfRule>
    <cfRule type="expression" dxfId="35" priority="2126444">
      <formula>$L24:$L$33&gt;=4</formula>
    </cfRule>
  </conditionalFormatting>
  <conditionalFormatting sqref="C34:K34 M34:Q34">
    <cfRule type="expression" dxfId="34" priority="2132577">
      <formula>AND($L34&gt;0,$L34&lt;4)</formula>
    </cfRule>
    <cfRule type="expression" dxfId="33" priority="2132578">
      <formula>$L34&lt;0</formula>
    </cfRule>
    <cfRule type="expression" dxfId="32" priority="2132579">
      <formula>$L34=0</formula>
    </cfRule>
    <cfRule type="expression" dxfId="31" priority="2132580">
      <formula>$L25:$L$32&gt;=4</formula>
    </cfRule>
  </conditionalFormatting>
  <conditionalFormatting sqref="C35:K35 M35:Q35">
    <cfRule type="expression" dxfId="30" priority="2143897">
      <formula>AND($L35&gt;0,$L35&lt;4)</formula>
    </cfRule>
    <cfRule type="expression" dxfId="29" priority="2143898">
      <formula>$L35&lt;0</formula>
    </cfRule>
    <cfRule type="expression" dxfId="28" priority="2143899">
      <formula>$L35=0</formula>
    </cfRule>
    <cfRule type="expression" dxfId="27" priority="2143900">
      <formula>$L27:$L$32&gt;=4</formula>
    </cfRule>
  </conditionalFormatting>
  <conditionalFormatting sqref="C23:K23 M23:Q23">
    <cfRule type="expression" dxfId="26" priority="2285509">
      <formula>AND($L23&gt;0,$L23&lt;4)</formula>
    </cfRule>
    <cfRule type="expression" dxfId="25" priority="2285510">
      <formula>$L23&lt;0</formula>
    </cfRule>
    <cfRule type="expression" dxfId="24" priority="2285511">
      <formula>$L23=0</formula>
    </cfRule>
    <cfRule type="expression" dxfId="23" priority="2285512">
      <formula>$L10:$L$18&gt;=4</formula>
    </cfRule>
  </conditionalFormatting>
  <conditionalFormatting sqref="F21:K21 M21:Q21 D21">
    <cfRule type="expression" dxfId="22" priority="2285897">
      <formula>AND($L21&gt;0,$L21&lt;4)</formula>
    </cfRule>
    <cfRule type="expression" dxfId="21" priority="2285898">
      <formula>$L21&lt;0</formula>
    </cfRule>
    <cfRule type="expression" dxfId="20" priority="2285899">
      <formula>$L21=0</formula>
    </cfRule>
    <cfRule type="expression" dxfId="19" priority="2285900">
      <formula>$L14:$L$18&gt;=4</formula>
    </cfRule>
  </conditionalFormatting>
  <conditionalFormatting sqref="L21">
    <cfRule type="expression" dxfId="18" priority="2287397">
      <formula>AND($L21&gt;0,$L21&lt;4)</formula>
    </cfRule>
    <cfRule type="expression" dxfId="17" priority="2287398">
      <formula>$L21&lt;0</formula>
    </cfRule>
    <cfRule type="expression" dxfId="16" priority="2287399">
      <formula>$L21=0</formula>
    </cfRule>
    <cfRule type="expression" dxfId="15" priority="2287400">
      <formula>$L$8:$L20&gt;=4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036F-FC14-4E34-B06C-600B8AA35BD1}">
  <dimension ref="A1"/>
  <sheetViews>
    <sheetView workbookViewId="0">
      <selection activeCell="G10" sqref="G10"/>
    </sheetView>
  </sheetViews>
  <sheetFormatPr baseColWidth="10" defaultColWidth="9.1796875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BD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Ricardo Gomez Thames Estudio</cp:lastModifiedBy>
  <cp:revision/>
  <dcterms:created xsi:type="dcterms:W3CDTF">2021-10-21T13:21:54Z</dcterms:created>
  <dcterms:modified xsi:type="dcterms:W3CDTF">2024-10-16T21:22:32Z</dcterms:modified>
  <cp:category/>
  <cp:contentStatus/>
</cp:coreProperties>
</file>