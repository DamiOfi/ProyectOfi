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1e347e3fff6b34b/Documentos/PROYECTO WEB/ProyectOfi/"/>
    </mc:Choice>
  </mc:AlternateContent>
  <xr:revisionPtr revIDLastSave="75" documentId="13_ncr:1_{7605D51A-08E6-488C-B71D-6A78BA06852F}" xr6:coauthVersionLast="47" xr6:coauthVersionMax="47" xr10:uidLastSave="{F0D2C67B-72E2-447E-A41D-F662674DCC4D}"/>
  <bookViews>
    <workbookView xWindow="-120" yWindow="-120" windowWidth="2073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<sst xmlns="http://schemas.openxmlformats.org/spreadsheetml/2006/main" count="85" uniqueCount="68">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</sst>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104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9" totalsRowDxfId="18"/>
    <tableColumn id="13" xr3:uid="{00000000-0010-0000-0000-00000D000000}" name="Compañia" dataDxfId="17"/>
    <tableColumn id="3" xr3:uid="{CDB0D3F4-B5A2-4677-9CC2-1F8DB06610E2}" name="Patente"/>
    <tableColumn id="6" xr3:uid="{891E73FD-6EA3-48A0-AFCD-52DA273135EC}" name="Cuota" dataDxfId="16" totalsRowDxfId="15"/>
    <tableColumn id="14" xr3:uid="{00000000-0010-0000-0000-00000E000000}" name="Cobertura " dataDxfId="14" totalsRowDxfId="13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12" totalsRowDxfId="11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10" totalsRowDxfId="9">
      <calculatedColumnFormula>IF(L8&lt;0,"Vencido",IF(L8=0,"Vence hoy",IF(L8&lt;4,"Por vencer","Al dia")))</calculatedColumnFormula>
    </tableColumn>
    <tableColumn id="19" xr3:uid="{00000000-0010-0000-0000-000013000000}" name="Primer Pago" dataDxfId="8" totalsRowDxfId="7" dataCellStyle="Moneda"/>
    <tableColumn id="20" xr3:uid="{00000000-0010-0000-0000-000014000000}" name="Precio Cuo" totalsRowDxfId="6" dataCellStyle="Moneda"/>
    <tableColumn id="21" xr3:uid="{00000000-0010-0000-0000-000015000000}" name="Ganancia" dataDxfId="5" totalsRowDxfId="4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C1" zoomScaleNormal="100" workbookViewId="0">
      <selection activeCell="E6" sqref="E6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14.4257812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1</v>
      </c>
      <c r="L5" s="22">
        <f ca="1">COUNTIF(CLIENTES[Dias a Vencer],"=0")</f>
        <v>1</v>
      </c>
      <c r="M5">
        <f ca="1">COUNTIFS(CLIENTES[Dias a Vencer],"&gt;0",CLIENTES[Dias a Vencer],"&lt;4")</f>
        <v>2</v>
      </c>
      <c r="N5">
        <f ca="1">COUNTIF(CLIENTES[Dias a Vencer],"&gt;3")</f>
        <v>6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45583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45559</v>
      </c>
      <c r="K8" s="1">
        <v>45583</v>
      </c>
      <c r="L8" s="22">
        <f ca="1">CLIENTES[[#This Row],[Fecha Vencimiento]]-$J$6</f>
        <v>0</v>
      </c>
      <c r="M8" s="1"/>
      <c r="N8" s="1" t="str">
        <f t="shared" ref="N8:N17" ca="1" si="0">IF(L8&lt;0,"Vencido",IF(L8=0,"Vence hoy",IF(L8&lt;4,"Por vencer","Al dia")))</f>
        <v>Vence hoy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45545</v>
      </c>
      <c r="K9" s="1">
        <v>45586</v>
      </c>
      <c r="L9" s="22">
        <f ca="1">CLIENTES[[#This Row],[Fecha Vencimiento]]-$J$6</f>
        <v>3</v>
      </c>
      <c r="N9" s="1" t="str">
        <f t="shared" ca="1" si="0"/>
        <v>Por vencer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45595</v>
      </c>
      <c r="L10" s="22">
        <f ca="1">CLIENTES[[#This Row],[Fecha Vencimiento]]-$J$6</f>
        <v>12</v>
      </c>
      <c r="N10" s="1" t="str">
        <f t="shared" ca="1" si="0"/>
        <v>Al dia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45595</v>
      </c>
      <c r="L11" s="22">
        <f ca="1">CLIENTES[[#This Row],[Fecha Vencimiento]]-$J$6</f>
        <v>12</v>
      </c>
      <c r="M11" s="1"/>
      <c r="N11" s="1" t="str">
        <f t="shared" ca="1" si="0"/>
        <v>Al dia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45595</v>
      </c>
      <c r="L12" s="22">
        <f ca="1">CLIENTES[[#This Row],[Fecha Vencimiento]]-$J$6</f>
        <v>12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45595</v>
      </c>
      <c r="L13" s="22">
        <f ca="1">CLIENTES[[#This Row],[Fecha Vencimiento]]-$J$6</f>
        <v>12</v>
      </c>
      <c r="N13" s="1" t="str">
        <f t="shared" ca="1" si="0"/>
        <v>Al dia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45595</v>
      </c>
      <c r="L14" s="22">
        <f ca="1">CLIENTES[[#This Row],[Fecha Vencimiento]]-$J$6</f>
        <v>12</v>
      </c>
      <c r="N14" s="1" t="str">
        <f t="shared" ca="1" si="0"/>
        <v>Al dia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45595</v>
      </c>
      <c r="L15" s="22">
        <f ca="1">CLIENTES[[#This Row],[Fecha Vencimiento]]-$J$6</f>
        <v>12</v>
      </c>
      <c r="N15" s="1" t="str">
        <f t="shared" ca="1" si="0"/>
        <v>Al dia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45555</v>
      </c>
      <c r="L16" s="22">
        <f ca="1">CLIENTES[[#This Row],[Fecha Vencimiento]]-$J$6</f>
        <v>-28</v>
      </c>
      <c r="N16" s="1" t="str">
        <f t="shared" ca="1" si="0"/>
        <v>Vencido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45585</v>
      </c>
      <c r="L17" s="22">
        <f ca="1">CLIENTES[[#This Row],[Fecha Vencimiento]]-$J$6</f>
        <v>2</v>
      </c>
      <c r="N17" s="1" t="str">
        <f t="shared" ca="1" si="0"/>
        <v>Por vencer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103" priority="776733">
      <formula>AND($L16&gt;0,$L16&lt;4)</formula>
    </cfRule>
    <cfRule type="expression" dxfId="102" priority="776734">
      <formula>$L16&lt;0</formula>
    </cfRule>
    <cfRule type="expression" dxfId="101" priority="776735">
      <formula>$L16=0</formula>
    </cfRule>
    <cfRule type="expression" dxfId="100" priority="776736">
      <formula>#REF!&gt;=4</formula>
    </cfRule>
  </conditionalFormatting>
  <conditionalFormatting sqref="M9:Q9 L9:L11 C8:D17 F9:J9 E8:Q8 E9:E17">
    <cfRule type="expression" dxfId="99" priority="781549">
      <formula>AND($L8&gt;0,$L8&lt;4)</formula>
    </cfRule>
    <cfRule type="expression" dxfId="98" priority="781550">
      <formula>$L8&lt;0</formula>
    </cfRule>
    <cfRule type="expression" dxfId="97" priority="781551">
      <formula>$L8=0</formula>
    </cfRule>
    <cfRule type="expression" dxfId="96" priority="781552">
      <formula>$L7:$L$8&gt;=4</formula>
    </cfRule>
  </conditionalFormatting>
  <conditionalFormatting sqref="L14:L17">
    <cfRule type="expression" dxfId="95" priority="1851125">
      <formula>AND($L14&gt;0,$L14&lt;4)</formula>
    </cfRule>
    <cfRule type="expression" dxfId="94" priority="1851126">
      <formula>$L14&lt;0</formula>
    </cfRule>
    <cfRule type="expression" dxfId="93" priority="1851127">
      <formula>$L14=0</formula>
    </cfRule>
    <cfRule type="expression" dxfId="92" priority="1851128">
      <formula>$L$8:$L12&gt;=4</formula>
    </cfRule>
  </conditionalFormatting>
  <conditionalFormatting sqref="M10:Q11 F10:H11 J10:J11">
    <cfRule type="expression" dxfId="91" priority="2096029">
      <formula>AND($L10&gt;0,$L10&lt;4)</formula>
    </cfRule>
    <cfRule type="expression" dxfId="90" priority="2096030">
      <formula>$L10&lt;0</formula>
    </cfRule>
    <cfRule type="expression" dxfId="89" priority="2096031">
      <formula>$L10=0</formula>
    </cfRule>
    <cfRule type="expression" dxfId="88" priority="2096032">
      <formula>$L8:$L$10&gt;=4</formula>
    </cfRule>
  </conditionalFormatting>
  <conditionalFormatting sqref="L12:L13">
    <cfRule type="expression" dxfId="87" priority="2287445">
      <formula>AND($L12&gt;0,$L12&lt;4)</formula>
    </cfRule>
    <cfRule type="expression" dxfId="86" priority="2287446">
      <formula>$L12&lt;0</formula>
    </cfRule>
    <cfRule type="expression" dxfId="85" priority="2287447">
      <formula>$L12=0</formula>
    </cfRule>
    <cfRule type="expression" dxfId="84" priority="2287448">
      <formula>$L$8:$L11&gt;=4</formula>
    </cfRule>
  </conditionalFormatting>
  <conditionalFormatting sqref="F12:H12 M12:Q12 J12">
    <cfRule type="expression" dxfId="79" priority="2287461">
      <formula>AND($L12&gt;0,$L12&lt;4)</formula>
    </cfRule>
    <cfRule type="expression" dxfId="78" priority="2287462">
      <formula>$L12&lt;0</formula>
    </cfRule>
    <cfRule type="expression" dxfId="77" priority="2287463">
      <formula>$L12=0</formula>
    </cfRule>
    <cfRule type="expression" dxfId="76" priority="2287464">
      <formula>$L10:$L$11&gt;=4</formula>
    </cfRule>
  </conditionalFormatting>
  <conditionalFormatting sqref="F14:H14 M14:Q14 J14">
    <cfRule type="expression" dxfId="75" priority="2287473">
      <formula>AND($L14&gt;0,$L14&lt;4)</formula>
    </cfRule>
    <cfRule type="expression" dxfId="74" priority="2287474">
      <formula>$L14&lt;0</formula>
    </cfRule>
    <cfRule type="expression" dxfId="73" priority="2287475">
      <formula>$L14=0</formula>
    </cfRule>
    <cfRule type="expression" dxfId="72" priority="2287476">
      <formula>#REF!&gt;=4</formula>
    </cfRule>
  </conditionalFormatting>
  <conditionalFormatting sqref="M15:Q15 F15:H15 J15">
    <cfRule type="expression" dxfId="71" priority="2287521">
      <formula>AND($L15&gt;0,$L15&lt;4)</formula>
    </cfRule>
    <cfRule type="expression" dxfId="70" priority="2287522">
      <formula>$L15&lt;0</formula>
    </cfRule>
    <cfRule type="expression" dxfId="69" priority="2287523">
      <formula>$L15=0</formula>
    </cfRule>
    <cfRule type="expression" dxfId="68" priority="2287524">
      <formula>$L10:$L$11&gt;=4</formula>
    </cfRule>
  </conditionalFormatting>
  <conditionalFormatting sqref="F13:H13 M13:Q13 J13">
    <cfRule type="expression" dxfId="67" priority="2287533">
      <formula>AND($L13&gt;0,$L13&lt;4)</formula>
    </cfRule>
    <cfRule type="expression" dxfId="66" priority="2287534">
      <formula>$L13&lt;0</formula>
    </cfRule>
    <cfRule type="expression" dxfId="65" priority="2287535">
      <formula>$L13=0</formula>
    </cfRule>
    <cfRule type="expression" dxfId="64" priority="2287536">
      <formula>#REF!&gt;=4</formula>
    </cfRule>
  </conditionalFormatting>
  <conditionalFormatting sqref="K10:K15">
    <cfRule type="expression" dxfId="63" priority="45">
      <formula>AND($L10&gt;0,$L10&lt;4)</formula>
    </cfRule>
    <cfRule type="expression" dxfId="62" priority="46">
      <formula>$L10&lt;0</formula>
    </cfRule>
    <cfRule type="expression" dxfId="61" priority="47">
      <formula>$L10=0</formula>
    </cfRule>
    <cfRule type="expression" dxfId="60" priority="48">
      <formula>$L$8:$L9&gt;=4</formula>
    </cfRule>
  </conditionalFormatting>
  <conditionalFormatting sqref="K17">
    <cfRule type="expression" dxfId="51" priority="33">
      <formula>AND($L17&gt;0,$L17&lt;4)</formula>
    </cfRule>
    <cfRule type="expression" dxfId="50" priority="34">
      <formula>$L17&lt;0</formula>
    </cfRule>
    <cfRule type="expression" dxfId="49" priority="35">
      <formula>$L17=0</formula>
    </cfRule>
    <cfRule type="expression" dxfId="48" priority="36">
      <formula>$L$8:$L16&gt;=4</formula>
    </cfRule>
  </conditionalFormatting>
  <conditionalFormatting sqref="K16">
    <cfRule type="expression" dxfId="47" priority="29">
      <formula>AND($L16&gt;0,$L16&lt;4)</formula>
    </cfRule>
    <cfRule type="expression" dxfId="46" priority="30">
      <formula>$L16&lt;0</formula>
    </cfRule>
    <cfRule type="expression" dxfId="45" priority="31">
      <formula>$L16=0</formula>
    </cfRule>
    <cfRule type="expression" dxfId="44" priority="32">
      <formula>$L$8:$L15&gt;=4</formula>
    </cfRule>
  </conditionalFormatting>
  <conditionalFormatting sqref="I15">
    <cfRule type="expression" dxfId="43" priority="25">
      <formula>AND($L15&gt;0,$L15&lt;4)</formula>
    </cfRule>
    <cfRule type="expression" dxfId="42" priority="26">
      <formula>$L15&lt;0</formula>
    </cfRule>
    <cfRule type="expression" dxfId="41" priority="27">
      <formula>$L15=0</formula>
    </cfRule>
    <cfRule type="expression" dxfId="40" priority="28">
      <formula>#REF!&gt;=4</formula>
    </cfRule>
  </conditionalFormatting>
  <conditionalFormatting sqref="I14">
    <cfRule type="expression" dxfId="39" priority="21">
      <formula>AND($L14&gt;0,$L14&lt;4)</formula>
    </cfRule>
    <cfRule type="expression" dxfId="38" priority="22">
      <formula>$L14&lt;0</formula>
    </cfRule>
    <cfRule type="expression" dxfId="37" priority="23">
      <formula>$L14=0</formula>
    </cfRule>
    <cfRule type="expression" dxfId="36" priority="24">
      <formula>#REF!&gt;=4</formula>
    </cfRule>
  </conditionalFormatting>
  <conditionalFormatting sqref="I13">
    <cfRule type="expression" dxfId="35" priority="17">
      <formula>AND($L13&gt;0,$L13&lt;4)</formula>
    </cfRule>
    <cfRule type="expression" dxfId="34" priority="18">
      <formula>$L13&lt;0</formula>
    </cfRule>
    <cfRule type="expression" dxfId="33" priority="19">
      <formula>$L13=0</formula>
    </cfRule>
    <cfRule type="expression" dxfId="32" priority="20">
      <formula>#REF!&gt;=4</formula>
    </cfRule>
  </conditionalFormatting>
  <conditionalFormatting sqref="I12">
    <cfRule type="expression" dxfId="31" priority="13">
      <formula>AND($L12&gt;0,$L12&lt;4)</formula>
    </cfRule>
    <cfRule type="expression" dxfId="30" priority="14">
      <formula>$L12&lt;0</formula>
    </cfRule>
    <cfRule type="expression" dxfId="29" priority="15">
      <formula>$L12=0</formula>
    </cfRule>
    <cfRule type="expression" dxfId="28" priority="16">
      <formula>#REF!&gt;=4</formula>
    </cfRule>
  </conditionalFormatting>
  <conditionalFormatting sqref="I11">
    <cfRule type="expression" dxfId="27" priority="9">
      <formula>AND($L11&gt;0,$L11&lt;4)</formula>
    </cfRule>
    <cfRule type="expression" dxfId="26" priority="10">
      <formula>$L11&lt;0</formula>
    </cfRule>
    <cfRule type="expression" dxfId="25" priority="11">
      <formula>$L11=0</formula>
    </cfRule>
    <cfRule type="expression" dxfId="24" priority="12">
      <formula>#REF!&gt;=4</formula>
    </cfRule>
  </conditionalFormatting>
  <conditionalFormatting sqref="I10">
    <cfRule type="expression" dxfId="23" priority="5">
      <formula>AND($L10&gt;0,$L10&lt;4)</formula>
    </cfRule>
    <cfRule type="expression" dxfId="22" priority="6">
      <formula>$L10&lt;0</formula>
    </cfRule>
    <cfRule type="expression" dxfId="21" priority="7">
      <formula>$L10=0</formula>
    </cfRule>
    <cfRule type="expression" dxfId="20" priority="8">
      <formula>#REF!&gt;=4</formula>
    </cfRule>
  </conditionalFormatting>
  <conditionalFormatting sqref="K9">
    <cfRule type="expression" dxfId="3" priority="1">
      <formula>AND($L9&gt;0,$L9&lt;4)</formula>
    </cfRule>
    <cfRule type="expression" dxfId="2" priority="2">
      <formula>$L9&lt;0</formula>
    </cfRule>
    <cfRule type="expression" dxfId="1" priority="3">
      <formula>$L9=0</formula>
    </cfRule>
    <cfRule type="expression" dxfId="0" priority="4">
      <formula>$L7:$L$10&gt;=4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2024-10-18T20:16:07Z</dcterms:modified>
  <cp:category/>
  <cp:contentStatus/>
</cp:coreProperties>
</file>